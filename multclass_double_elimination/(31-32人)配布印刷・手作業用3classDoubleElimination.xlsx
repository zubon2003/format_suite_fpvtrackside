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815" yWindow="1545" windowWidth="21600" windowHeight="11295" tabRatio="600" firstSheet="0" activeTab="0" autoFilterDateGrouping="1"/>
  </bookViews>
  <sheets>
    <sheet name="予選順位入力" sheetId="1" state="visible" r:id="rId1"/>
    <sheet name="決勝トーナメント自動入力シート" sheetId="2" state="visible" r:id="rId2"/>
    <sheet name="決勝トーナメント(印刷配布掲示用）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b val="1"/>
      <sz val="11"/>
      <scheme val="minor"/>
    </font>
    <font>
      <name val="游ゴシック"/>
      <charset val="128"/>
      <family val="3"/>
      <color theme="1"/>
      <sz val="28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44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ck">
        <color rgb="FFFF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ck">
        <color rgb="FFFF0000"/>
      </right>
      <top/>
      <bottom style="thick">
        <color indexed="64"/>
      </bottom>
      <diagonal/>
    </border>
    <border>
      <left/>
      <right style="thick">
        <color rgb="FFFF0000"/>
      </right>
      <top style="thick">
        <color indexed="64"/>
      </top>
      <bottom/>
      <diagonal/>
    </border>
    <border>
      <left/>
      <right style="thin">
        <color indexed="64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auto="1"/>
      </left>
      <right style="thick">
        <color rgb="FFFF0000"/>
      </right>
      <top style="thick">
        <color rgb="FFFF0000"/>
      </top>
      <bottom/>
      <diagonal/>
    </border>
    <border>
      <left style="thick">
        <color indexed="64"/>
      </left>
      <right style="thick">
        <color rgb="FFFF0000"/>
      </right>
      <top/>
      <bottom/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/>
      <diagonal/>
    </border>
    <border>
      <left style="thick">
        <color rgb="FFFF0000"/>
      </left>
      <right/>
      <top style="thick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 applyAlignment="1">
      <alignment vertical="center"/>
    </xf>
  </cellStyleXfs>
  <cellXfs count="7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3" borderId="6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5" borderId="6" applyAlignment="1" pivotButton="0" quotePrefix="0" xfId="0">
      <alignment vertical="center"/>
    </xf>
    <xf numFmtId="0" fontId="2" fillId="0" borderId="26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6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0" fillId="7" borderId="6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8" borderId="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38" applyAlignment="1" pivotButton="0" quotePrefix="0" xfId="0">
      <alignment vertical="center"/>
    </xf>
    <xf numFmtId="0" fontId="0" fillId="0" borderId="39" applyAlignment="1" pivotButton="0" quotePrefix="0" xfId="0">
      <alignment vertical="center"/>
    </xf>
    <xf numFmtId="0" fontId="0" fillId="0" borderId="40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0" fillId="0" borderId="0" pivotButton="0" quotePrefix="0" xfId="0"/>
    <xf numFmtId="0" fontId="0" fillId="0" borderId="4" pivotButton="0" quotePrefix="0" xfId="0"/>
    <xf numFmtId="0" fontId="5" fillId="9" borderId="4" applyAlignment="1" pivotButton="0" quotePrefix="0" xfId="0">
      <alignment horizontal="center" vertical="center" wrapText="1"/>
    </xf>
    <xf numFmtId="0" fontId="0" fillId="9" borderId="0" pivotButton="0" quotePrefix="0" xfId="0"/>
    <xf numFmtId="0" fontId="0" fillId="9" borderId="4" pivotButton="0" quotePrefix="0" xfId="0"/>
    <xf numFmtId="0" fontId="6" fillId="0" borderId="43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10" borderId="43" pivotButton="0" quotePrefix="0" xfId="0"/>
    <xf numFmtId="0" fontId="0" fillId="0" borderId="43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6" customWidth="1" style="63" min="1" max="1"/>
    <col width="22" customWidth="1" style="63" min="2" max="2"/>
    <col width="10" customWidth="1" style="63" min="3" max="3"/>
  </cols>
  <sheetData>
    <row r="1">
      <c r="A1" s="68" t="inlineStr">
        <is>
          <t>Pos.</t>
        </is>
      </c>
      <c r="B1" s="68" t="inlineStr">
        <is>
          <t>Pilot</t>
        </is>
      </c>
      <c r="C1" s="68" t="inlineStr">
        <is>
          <t>Time</t>
        </is>
      </c>
      <c r="E1" t="inlineStr">
        <is>
          <t>← B列に予選順位どおりに Pilot 名を貼り付けてください。「決勝トーナメント自動入力シート」の1回戦に自動反映されます。</t>
        </is>
      </c>
    </row>
    <row r="2">
      <c r="A2" s="69" t="n">
        <v>1</v>
      </c>
      <c r="B2" s="70" t="n"/>
      <c r="C2" s="71" t="n"/>
      <c r="E2" t="inlineStr">
        <is>
          <t>各レースの左側の細い枠に着順(1〜4)を入力すると、次のレースの出走者が自動で埋まります。</t>
        </is>
      </c>
    </row>
    <row r="3">
      <c r="A3" s="69" t="n">
        <v>2</v>
      </c>
      <c r="B3" s="70" t="n"/>
      <c r="C3" s="71" t="n"/>
    </row>
    <row r="4">
      <c r="A4" s="69" t="n">
        <v>3</v>
      </c>
      <c r="B4" s="70" t="n"/>
      <c r="C4" s="71" t="n"/>
    </row>
    <row r="5">
      <c r="A5" s="69" t="n">
        <v>4</v>
      </c>
      <c r="B5" s="70" t="n"/>
      <c r="C5" s="71" t="n"/>
    </row>
    <row r="6">
      <c r="A6" s="69" t="n">
        <v>5</v>
      </c>
      <c r="B6" s="70" t="n"/>
      <c r="C6" s="71" t="n"/>
    </row>
    <row r="7">
      <c r="A7" s="69" t="n">
        <v>6</v>
      </c>
      <c r="B7" s="70" t="n"/>
      <c r="C7" s="71" t="n"/>
    </row>
    <row r="8">
      <c r="A8" s="69" t="n">
        <v>7</v>
      </c>
      <c r="B8" s="70" t="n"/>
      <c r="C8" s="71" t="n"/>
    </row>
    <row r="9">
      <c r="A9" s="69" t="n">
        <v>8</v>
      </c>
      <c r="B9" s="70" t="n"/>
      <c r="C9" s="71" t="n"/>
    </row>
    <row r="10">
      <c r="A10" s="69" t="n">
        <v>9</v>
      </c>
      <c r="B10" s="70" t="n"/>
      <c r="C10" s="71" t="n"/>
    </row>
    <row r="11">
      <c r="A11" s="69" t="n">
        <v>10</v>
      </c>
      <c r="B11" s="70" t="n"/>
      <c r="C11" s="71" t="n"/>
    </row>
    <row r="12">
      <c r="A12" s="69" t="n">
        <v>11</v>
      </c>
      <c r="B12" s="70" t="n"/>
      <c r="C12" s="71" t="n"/>
    </row>
    <row r="13">
      <c r="A13" s="69" t="n">
        <v>12</v>
      </c>
      <c r="B13" s="70" t="n"/>
      <c r="C13" s="71" t="n"/>
    </row>
    <row r="14">
      <c r="A14" s="69" t="n">
        <v>13</v>
      </c>
      <c r="B14" s="70" t="n"/>
      <c r="C14" s="71" t="n"/>
    </row>
    <row r="15">
      <c r="A15" s="69" t="n">
        <v>14</v>
      </c>
      <c r="B15" s="70" t="n"/>
      <c r="C15" s="71" t="n"/>
    </row>
    <row r="16">
      <c r="A16" s="69" t="n">
        <v>15</v>
      </c>
      <c r="B16" s="70" t="n"/>
      <c r="C16" s="71" t="n"/>
    </row>
    <row r="17">
      <c r="A17" s="69" t="n">
        <v>16</v>
      </c>
      <c r="B17" s="70" t="n"/>
      <c r="C17" s="71" t="n"/>
    </row>
    <row r="18">
      <c r="A18" s="69" t="n">
        <v>17</v>
      </c>
      <c r="B18" s="70" t="n"/>
      <c r="C18" s="71" t="n"/>
    </row>
    <row r="19">
      <c r="A19" s="69" t="n">
        <v>18</v>
      </c>
      <c r="B19" s="70" t="n"/>
      <c r="C19" s="71" t="n"/>
    </row>
    <row r="20">
      <c r="A20" s="69" t="n">
        <v>19</v>
      </c>
      <c r="B20" s="70" t="n"/>
      <c r="C20" s="71" t="n"/>
    </row>
    <row r="21">
      <c r="A21" s="69" t="n">
        <v>20</v>
      </c>
      <c r="B21" s="70" t="n"/>
      <c r="C21" s="71" t="n"/>
    </row>
    <row r="22">
      <c r="A22" s="69" t="n">
        <v>21</v>
      </c>
      <c r="B22" s="70" t="n"/>
      <c r="C22" s="71" t="n"/>
    </row>
    <row r="23">
      <c r="A23" s="69" t="n">
        <v>22</v>
      </c>
      <c r="B23" s="70" t="n"/>
      <c r="C23" s="71" t="n"/>
    </row>
    <row r="24">
      <c r="A24" s="69" t="n">
        <v>23</v>
      </c>
      <c r="B24" s="70" t="n"/>
      <c r="C24" s="71" t="n"/>
    </row>
    <row r="25">
      <c r="A25" s="69" t="n">
        <v>24</v>
      </c>
      <c r="B25" s="70" t="n"/>
      <c r="C25" s="71" t="n"/>
    </row>
    <row r="26">
      <c r="A26" s="69" t="n">
        <v>25</v>
      </c>
      <c r="B26" s="70" t="n"/>
      <c r="C26" s="71" t="n"/>
    </row>
    <row r="27">
      <c r="A27" s="69" t="n">
        <v>26</v>
      </c>
      <c r="B27" s="70" t="n"/>
      <c r="C27" s="71" t="n"/>
    </row>
    <row r="28">
      <c r="A28" s="69" t="n">
        <v>27</v>
      </c>
      <c r="B28" s="70" t="n"/>
      <c r="C28" s="71" t="n"/>
    </row>
    <row r="29">
      <c r="A29" s="69" t="n">
        <v>28</v>
      </c>
      <c r="B29" s="70" t="n"/>
      <c r="C29" s="71" t="n"/>
    </row>
    <row r="30">
      <c r="A30" s="69" t="n">
        <v>29</v>
      </c>
      <c r="B30" s="70" t="n"/>
      <c r="C30" s="71" t="n"/>
    </row>
    <row r="31">
      <c r="A31" s="69" t="n">
        <v>30</v>
      </c>
      <c r="B31" s="70" t="n"/>
      <c r="C31" s="71" t="n"/>
    </row>
    <row r="32">
      <c r="A32" s="69" t="n">
        <v>31</v>
      </c>
      <c r="B32" s="70" t="n"/>
      <c r="C32" s="71" t="n"/>
    </row>
    <row r="33">
      <c r="A33" s="69" t="n">
        <v>32</v>
      </c>
      <c r="B33" s="70" t="n"/>
      <c r="C33" s="7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Y56"/>
  <sheetViews>
    <sheetView workbookViewId="0">
      <selection activeCell="A1" sqref="A1"/>
    </sheetView>
  </sheetViews>
  <sheetFormatPr baseColWidth="8" defaultRowHeight="18.75"/>
  <cols>
    <col width="4.625" customWidth="1" style="63" min="1" max="2"/>
    <col width="14.625" customWidth="1" style="63" min="3" max="3"/>
    <col width="2.125" customWidth="1" style="63" min="4" max="10"/>
    <col width="4.625" customWidth="1" style="63" min="11" max="11"/>
    <col width="14.625" customWidth="1" style="63" min="12" max="12"/>
    <col width="2.125" customWidth="1" style="63" min="13" max="19"/>
    <col width="4.625" customWidth="1" style="63" min="20" max="20"/>
    <col width="14.625" customWidth="1" style="63" min="21" max="21"/>
    <col width="2.125" customWidth="1" style="63" min="22" max="28"/>
    <col width="4.625" customWidth="1" style="63" min="29" max="29"/>
    <col width="14.625" customWidth="1" style="63" min="30" max="30"/>
    <col width="2.125" customWidth="1" style="63" min="31" max="37"/>
    <col width="4.625" customWidth="1" style="63" min="38" max="38"/>
    <col width="14.625" customWidth="1" style="63" min="39" max="39"/>
    <col width="2.125" customWidth="1" style="63" min="40" max="46"/>
    <col width="4.625" customWidth="1" style="63" min="47" max="47"/>
    <col width="14.625" customWidth="1" style="63" min="48" max="48"/>
    <col width="4.625" customWidth="1" style="63" min="49" max="49"/>
  </cols>
  <sheetData>
    <row r="1" s="63">
      <c r="C1" s="1" t="inlineStr">
        <is>
          <t>１回戦</t>
        </is>
      </c>
      <c r="L1" s="1" t="inlineStr">
        <is>
          <t>２回戦</t>
        </is>
      </c>
      <c r="U1" s="1" t="inlineStr">
        <is>
          <t>３回戦</t>
        </is>
      </c>
      <c r="AD1" s="1" t="inlineStr">
        <is>
          <t>４回戦(B・C決勝戦)</t>
        </is>
      </c>
      <c r="AM1" s="1" t="inlineStr">
        <is>
          <t>５回戦</t>
        </is>
      </c>
      <c r="AV1" s="1" t="inlineStr">
        <is>
          <t>A決勝戦</t>
        </is>
      </c>
    </row>
    <row r="2" s="63">
      <c r="C2" s="1" t="n"/>
      <c r="L2" s="1" t="n"/>
      <c r="U2" s="1" t="n"/>
      <c r="AD2" s="1" t="n"/>
      <c r="AM2" s="1" t="n"/>
      <c r="AV2" s="1" t="n"/>
    </row>
    <row r="3" s="63"/>
    <row r="4" s="63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4" t="n"/>
      <c r="AX4" s="55" t="inlineStr">
        <is>
          <t>B
MAIN
8名</t>
        </is>
      </c>
    </row>
    <row r="5" s="63">
      <c r="A5" s="5" t="n"/>
      <c r="B5" s="1" t="n"/>
      <c r="C5" s="1" t="inlineStr">
        <is>
          <t>Race1-1</t>
        </is>
      </c>
      <c r="K5" s="1" t="n"/>
      <c r="L5" s="1" t="inlineStr">
        <is>
          <t>Race2-1</t>
        </is>
      </c>
      <c r="T5" s="1" t="n"/>
      <c r="U5" s="1" t="n"/>
      <c r="AC5" s="1" t="n"/>
      <c r="AD5" s="1" t="inlineStr">
        <is>
          <t>Race4-1</t>
        </is>
      </c>
      <c r="AL5" s="1" t="n"/>
      <c r="AM5" s="1" t="n"/>
      <c r="AU5" s="1" t="n"/>
      <c r="AV5" s="1" t="n"/>
      <c r="AW5" s="6" t="n"/>
      <c r="AX5" s="64" t="n"/>
    </row>
    <row r="6" ht="19.5" customHeight="1" s="63">
      <c r="A6" s="5" t="n"/>
      <c r="B6" s="7" t="n"/>
      <c r="C6" s="8">
        <f>IF(予選順位入力!$B$18="","",予選順位入力!$B$18)</f>
        <v/>
      </c>
      <c r="D6" s="1" t="inlineStr">
        <is>
          <t>１・２位</t>
        </is>
      </c>
      <c r="K6" s="7" t="n"/>
      <c r="L6" s="8">
        <f>IFERROR(INDEX($C$6:$C$9,MATCH(1,$B$6:$B$9,0)),"")</f>
        <v/>
      </c>
      <c r="M6" s="1" t="inlineStr">
        <is>
          <t>１・２位</t>
        </is>
      </c>
      <c r="V6" s="1" t="n"/>
      <c r="AC6" s="7" t="n"/>
      <c r="AD6" s="8">
        <f>IFERROR(INDEX($L$6:$L$9,MATCH(1,$K$6:$K$9,0)),"")</f>
        <v/>
      </c>
      <c r="AW6" s="6" t="n"/>
      <c r="AX6" s="64" t="n"/>
    </row>
    <row r="7" ht="20.25" customHeight="1" s="63">
      <c r="A7" s="5" t="n"/>
      <c r="B7" s="7" t="n"/>
      <c r="C7" s="8">
        <f>IF(予選順位入力!$B$20="","",予選順位入力!$B$20)</f>
        <v/>
      </c>
      <c r="D7" s="9" t="n"/>
      <c r="E7" s="10" t="n"/>
      <c r="F7" s="10" t="n"/>
      <c r="G7" s="10" t="n"/>
      <c r="H7" s="10" t="n"/>
      <c r="I7" s="11" t="n"/>
      <c r="J7" s="12" t="n"/>
      <c r="K7" s="7" t="n"/>
      <c r="L7" s="8">
        <f>IFERROR(INDEX($C$6:$C$9,MATCH(2,$B$6:$B$9,0)),"")</f>
        <v/>
      </c>
      <c r="M7" s="13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7" t="n"/>
      <c r="AD7" s="8">
        <f>IFERROR(INDEX($L$6:$L$9,MATCH(2,$K$6:$K$9,0)),"")</f>
        <v/>
      </c>
      <c r="AW7" s="6" t="n"/>
      <c r="AX7" s="64" t="n"/>
    </row>
    <row r="8" ht="20.25" customHeight="1" s="63">
      <c r="A8" s="5" t="n"/>
      <c r="B8" s="7" t="n"/>
      <c r="C8" s="8">
        <f>IF(予選順位入力!$B$22="","",予選順位入力!$B$22)</f>
        <v/>
      </c>
      <c r="D8" s="17" t="inlineStr">
        <is>
          <t>３・４位</t>
        </is>
      </c>
      <c r="E8" s="18" t="n"/>
      <c r="F8" s="18" t="n"/>
      <c r="I8" s="19" t="n"/>
      <c r="J8" s="10" t="n"/>
      <c r="K8" s="7" t="n"/>
      <c r="L8" s="8">
        <f>IFERROR(INDEX($C$12:$C$15,MATCH(1,$B$12:$B$15,0)),"")</f>
        <v/>
      </c>
      <c r="M8" s="17" t="inlineStr">
        <is>
          <t>３・４位</t>
        </is>
      </c>
      <c r="V8" s="42" t="n"/>
      <c r="AC8" s="7" t="n"/>
      <c r="AD8" s="8">
        <f>IFERROR(INDEX($U$12:$U$15,MATCH(1,$T$12:$T$15,0)),"")</f>
        <v/>
      </c>
      <c r="AW8" s="6" t="n"/>
      <c r="AX8" s="64" t="n"/>
    </row>
    <row r="9" ht="19.5" customHeight="1" s="63" thickBot="1">
      <c r="A9" s="5" t="n"/>
      <c r="B9" s="7" t="n"/>
      <c r="C9" s="8">
        <f>IF(予選順位入力!$B$24="","",予選順位入力!$B$24)</f>
        <v/>
      </c>
      <c r="G9" s="21" t="n"/>
      <c r="H9" s="21" t="n"/>
      <c r="I9" s="50" t="n"/>
      <c r="J9" s="24" t="n"/>
      <c r="K9" s="7" t="n"/>
      <c r="L9" s="8">
        <f>IFERROR(INDEX($C$12:$C$15,MATCH(2,$B$12:$B$15,0)),"")</f>
        <v/>
      </c>
      <c r="M9" s="21" t="n"/>
      <c r="N9" s="21" t="n"/>
      <c r="O9" s="21" t="n"/>
      <c r="P9" s="21" t="n"/>
      <c r="Q9" s="23" t="n"/>
      <c r="Z9" s="20" t="n"/>
      <c r="AA9" s="19" t="n"/>
      <c r="AB9" s="15" t="n"/>
      <c r="AC9" s="7" t="n"/>
      <c r="AD9" s="8">
        <f>IFERROR(INDEX($U$12:$U$15,MATCH(2,$T$12:$T$15,0)),"")</f>
        <v/>
      </c>
      <c r="AW9" s="6" t="n"/>
      <c r="AX9" s="64" t="n"/>
    </row>
    <row r="10" s="63" thickBot="1" thickTop="1">
      <c r="A10" s="5" t="n"/>
      <c r="H10" s="20" t="n"/>
      <c r="I10" s="25" t="n"/>
      <c r="J10" s="24" t="n"/>
      <c r="Q10" s="25" t="n"/>
      <c r="Z10" s="20" t="n"/>
      <c r="AW10" s="6" t="n"/>
      <c r="AX10" s="64" t="n"/>
    </row>
    <row r="11" s="63" thickBot="1" thickTop="1">
      <c r="A11" s="5" t="n"/>
      <c r="B11" s="1" t="n"/>
      <c r="C11" s="1" t="inlineStr">
        <is>
          <t>Race1-2</t>
        </is>
      </c>
      <c r="H11" s="20" t="n"/>
      <c r="I11" s="25" t="n"/>
      <c r="J11" s="24" t="n"/>
      <c r="K11" s="1" t="n"/>
      <c r="L11" s="1" t="inlineStr">
        <is>
          <t>Race2-2</t>
        </is>
      </c>
      <c r="Q11" s="25" t="n"/>
      <c r="T11" s="1" t="n"/>
      <c r="U11" s="1" t="inlineStr">
        <is>
          <t>Race3-1</t>
        </is>
      </c>
      <c r="Z11" s="20" t="n"/>
      <c r="AC11" s="1" t="n"/>
      <c r="AD11" s="1" t="n"/>
      <c r="AL11" s="1" t="n"/>
      <c r="AU11" s="1" t="n"/>
      <c r="AW11" s="6" t="n"/>
      <c r="AX11" s="64" t="n"/>
    </row>
    <row r="12" ht="19.5" customHeight="1" s="63" thickTop="1">
      <c r="A12" s="5" t="n"/>
      <c r="B12" s="7" t="n"/>
      <c r="C12" s="8">
        <f>IF(予選順位入力!$B$19="","",予選順位入力!$B$19)</f>
        <v/>
      </c>
      <c r="D12" s="1" t="inlineStr">
        <is>
          <t>１・２位</t>
        </is>
      </c>
      <c r="E12" s="12" t="n"/>
      <c r="F12" s="12" t="n"/>
      <c r="G12" s="12" t="n"/>
      <c r="H12" s="26" t="n"/>
      <c r="I12" s="51" t="n"/>
      <c r="J12" s="52" t="n"/>
      <c r="K12" s="7" t="n"/>
      <c r="L12" s="30">
        <f>IFERROR(INDEX($C$6:$C$9,MATCH(4,$B$6:$B$9,0)),"")</f>
        <v/>
      </c>
      <c r="M12" s="27" t="inlineStr">
        <is>
          <t>１・２位</t>
        </is>
      </c>
      <c r="P12" s="12" t="n"/>
      <c r="Q12" s="43" t="n"/>
      <c r="T12" s="7" t="n"/>
      <c r="U12" s="30">
        <f>IFERROR(INDEX($L$6:$L$9,MATCH(3,$K$6:$K$9,0)),"")</f>
        <v/>
      </c>
      <c r="V12" s="27" t="inlineStr">
        <is>
          <t>１・２位</t>
        </is>
      </c>
      <c r="W12" s="12" t="n"/>
      <c r="X12" s="12" t="n"/>
      <c r="Y12" s="12" t="n"/>
      <c r="Z12" s="26" t="n"/>
      <c r="AE12" s="1" t="n"/>
      <c r="AN12" s="1" t="n"/>
      <c r="AW12" s="6" t="n"/>
      <c r="AX12" s="64" t="n"/>
    </row>
    <row r="13" ht="20.25" customHeight="1" s="63">
      <c r="A13" s="5" t="n"/>
      <c r="B13" s="7" t="n"/>
      <c r="C13" s="8">
        <f>IF(予選順位入力!$B$21="","",予選順位入力!$B$21)</f>
        <v/>
      </c>
      <c r="D13" s="13" t="n"/>
      <c r="E13" s="10" t="n"/>
      <c r="F13" s="10" t="n"/>
      <c r="H13" s="10" t="n"/>
      <c r="I13" s="25" t="n"/>
      <c r="J13" s="24" t="n"/>
      <c r="K13" s="7" t="n"/>
      <c r="L13" s="30">
        <f>IFERROR(INDEX($C$6:$C$9,MATCH(3,$B$6:$B$9,0)),"")</f>
        <v/>
      </c>
      <c r="M13" s="13" t="n"/>
      <c r="N13" s="10" t="n"/>
      <c r="O13" s="10" t="n"/>
      <c r="P13" s="10" t="n"/>
      <c r="Q13" s="10" t="n"/>
      <c r="R13" s="54" t="n"/>
      <c r="S13" s="15" t="n"/>
      <c r="T13" s="7" t="n"/>
      <c r="U13" s="30">
        <f>IFERROR(INDEX($L$6:$L$9,MATCH(4,$K$6:$K$9,0)),"")</f>
        <v/>
      </c>
      <c r="V13" s="13" t="n"/>
      <c r="AW13" s="6" t="n"/>
      <c r="AX13" s="64" t="n"/>
    </row>
    <row r="14" ht="20.25" customHeight="1" s="63">
      <c r="A14" s="5" t="n"/>
      <c r="B14" s="7" t="n"/>
      <c r="C14" s="8">
        <f>IF(予選順位入力!$B$23="","",予選順位入力!$B$23)</f>
        <v/>
      </c>
      <c r="D14" s="17" t="inlineStr">
        <is>
          <t>３・４位</t>
        </is>
      </c>
      <c r="E14" s="18" t="n"/>
      <c r="F14" s="18" t="n"/>
      <c r="G14" s="18" t="n"/>
      <c r="H14" s="18" t="n"/>
      <c r="I14" s="48" t="n"/>
      <c r="J14" s="53" t="n"/>
      <c r="K14" s="7" t="n"/>
      <c r="L14" s="30">
        <f>IFERROR(INDEX($C$12:$C$15,MATCH(3,$B$12:$B$15,0)),"")</f>
        <v/>
      </c>
      <c r="M14" s="32" t="n"/>
      <c r="R14" s="28" t="n"/>
      <c r="S14" s="29" t="n"/>
      <c r="T14" s="7" t="n"/>
      <c r="U14" s="30">
        <f>IFERROR(INDEX($L$12:$L$15,MATCH(1,$K$12:$K$15,0)),"")</f>
        <v/>
      </c>
      <c r="AW14" s="6" t="n"/>
      <c r="AX14" s="64" t="n"/>
    </row>
    <row r="15" ht="19.5" customHeight="1" s="63" thickBot="1">
      <c r="A15" s="5" t="n"/>
      <c r="B15" s="7" t="n"/>
      <c r="C15" s="8">
        <f>IF(予選順位入力!$B$25="","",予選順位入力!$B$25)</f>
        <v/>
      </c>
      <c r="K15" s="7" t="n"/>
      <c r="L15" s="30">
        <f>IFERROR(INDEX($C$12:$C$15,MATCH(4,$B$12:$B$15,0)),"")</f>
        <v/>
      </c>
      <c r="M15" s="16" t="n"/>
      <c r="T15" s="7" t="n"/>
      <c r="U15" s="30">
        <f>IFERROR(INDEX($L$12:$L$15,MATCH(2,$K$12:$K$15,0)),"")</f>
        <v/>
      </c>
      <c r="AW15" s="6" t="n"/>
      <c r="AX15" s="64" t="n"/>
    </row>
    <row r="16" s="63" thickBot="1" thickTop="1">
      <c r="A16" s="37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9" t="n"/>
      <c r="AX16" s="64" t="n"/>
    </row>
    <row r="17" s="63" thickBot="1" thickTop="1"/>
    <row r="18" s="63" thickTop="1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4" t="n"/>
      <c r="AX18" s="65" t="inlineStr">
        <is>
          <t>C
MAIN
7・8名</t>
        </is>
      </c>
    </row>
    <row r="19" s="63">
      <c r="A19" s="5" t="n"/>
      <c r="B19" s="1" t="n"/>
      <c r="C19" s="1" t="inlineStr">
        <is>
          <t>Race1-3</t>
        </is>
      </c>
      <c r="K19" s="1" t="n"/>
      <c r="L19" s="1" t="inlineStr">
        <is>
          <t>Race2-3</t>
        </is>
      </c>
      <c r="T19" s="1" t="n"/>
      <c r="U19" s="1" t="n"/>
      <c r="AC19" s="1" t="n"/>
      <c r="AD19" s="1" t="inlineStr">
        <is>
          <t>Race4-2</t>
        </is>
      </c>
      <c r="AL19" s="1" t="n"/>
      <c r="AM19" s="1" t="n"/>
      <c r="AU19" s="1" t="n"/>
      <c r="AV19" s="1" t="n"/>
      <c r="AW19" s="6" t="n"/>
      <c r="AX19" s="64" t="n"/>
    </row>
    <row r="20" ht="19.5" customHeight="1" s="63">
      <c r="A20" s="5" t="n"/>
      <c r="B20" s="7" t="n"/>
      <c r="C20" s="8">
        <f>IF(予選順位入力!$B$26="","",予選順位入力!$B$26)</f>
        <v/>
      </c>
      <c r="D20" s="1" t="inlineStr">
        <is>
          <t>１・２位</t>
        </is>
      </c>
      <c r="K20" s="7" t="n"/>
      <c r="L20" s="8">
        <f>IFERROR(INDEX($C$20:$C$23,MATCH(1,$B$20:$B$23,0)),"")</f>
        <v/>
      </c>
      <c r="M20" s="1" t="inlineStr">
        <is>
          <t>１・２位</t>
        </is>
      </c>
      <c r="V20" s="1" t="n"/>
      <c r="AC20" s="7" t="n"/>
      <c r="AD20" s="8">
        <f>IFERROR(INDEX($L$20:$L$23,MATCH(1,$K$20:$K$23,0)),"")</f>
        <v/>
      </c>
      <c r="AW20" s="6" t="n"/>
      <c r="AX20" s="64" t="n"/>
    </row>
    <row r="21" ht="20.25" customHeight="1" s="63">
      <c r="A21" s="5" t="n"/>
      <c r="B21" s="7" t="n"/>
      <c r="C21" s="8">
        <f>IF(予選順位入力!$B$28="","",予選順位入力!$B$28)</f>
        <v/>
      </c>
      <c r="D21" s="9" t="n"/>
      <c r="E21" s="10" t="n"/>
      <c r="F21" s="10" t="n"/>
      <c r="G21" s="10" t="n"/>
      <c r="H21" s="10" t="n"/>
      <c r="I21" s="11" t="n"/>
      <c r="J21" s="12" t="n"/>
      <c r="K21" s="7" t="n"/>
      <c r="L21" s="8">
        <f>IFERROR(INDEX($C$20:$C$23,MATCH(2,$B$20:$B$23,0)),"")</f>
        <v/>
      </c>
      <c r="M21" s="13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7" t="n"/>
      <c r="AD21" s="8">
        <f>IFERROR(INDEX($L$20:$L$23,MATCH(2,$K$20:$K$23,0)),"")</f>
        <v/>
      </c>
      <c r="AW21" s="6" t="n"/>
      <c r="AX21" s="64" t="n"/>
    </row>
    <row r="22" ht="20.25" customHeight="1" s="63">
      <c r="A22" s="5" t="n"/>
      <c r="B22" s="7" t="n"/>
      <c r="C22" s="8">
        <f>IF(予選順位入力!$B$30="","",予選順位入力!$B$30)</f>
        <v/>
      </c>
      <c r="D22" s="17" t="inlineStr">
        <is>
          <t>３・４位</t>
        </is>
      </c>
      <c r="E22" s="18" t="n"/>
      <c r="F22" s="18" t="n"/>
      <c r="I22" s="19" t="n"/>
      <c r="J22" s="10" t="n"/>
      <c r="K22" s="7" t="n"/>
      <c r="L22" s="8">
        <f>IFERROR(INDEX($C$26:$C$29,MATCH(1,$B$26:$B$29,0)),"")</f>
        <v/>
      </c>
      <c r="M22" s="17" t="inlineStr">
        <is>
          <t>３・４位</t>
        </is>
      </c>
      <c r="V22" s="42" t="n"/>
      <c r="AC22" s="7" t="n"/>
      <c r="AD22" s="8">
        <f>IFERROR(INDEX($U$26:$U$29,MATCH(1,$T$26:$T$29,0)),"")</f>
        <v/>
      </c>
      <c r="AW22" s="6" t="n"/>
      <c r="AX22" s="64" t="n"/>
    </row>
    <row r="23" ht="19.5" customHeight="1" s="63" thickBot="1">
      <c r="A23" s="5" t="n"/>
      <c r="B23" s="7" t="n"/>
      <c r="C23" s="8">
        <f>IF(予選順位入力!$B$32="","",予選順位入力!$B$32)</f>
        <v/>
      </c>
      <c r="G23" s="21" t="n"/>
      <c r="H23" s="21" t="n"/>
      <c r="I23" s="50" t="n"/>
      <c r="J23" s="24" t="n"/>
      <c r="K23" s="7" t="n"/>
      <c r="L23" s="8">
        <f>IFERROR(INDEX($C$26:$C$29,MATCH(2,$B$26:$B$29,0)),"")</f>
        <v/>
      </c>
      <c r="M23" s="21" t="n"/>
      <c r="N23" s="21" t="n"/>
      <c r="O23" s="21" t="n"/>
      <c r="P23" s="21" t="n"/>
      <c r="Q23" s="23" t="n"/>
      <c r="Z23" s="20" t="n"/>
      <c r="AA23" s="19" t="n"/>
      <c r="AB23" s="15" t="n"/>
      <c r="AC23" s="7" t="n"/>
      <c r="AD23" s="8">
        <f>IFERROR(INDEX($U$26:$U$29,MATCH(2,$T$26:$T$29,0)),"")</f>
        <v/>
      </c>
      <c r="AW23" s="6" t="n"/>
      <c r="AX23" s="64" t="n"/>
    </row>
    <row r="24" s="63" thickBot="1" thickTop="1">
      <c r="A24" s="5" t="n"/>
      <c r="H24" s="20" t="n"/>
      <c r="I24" s="25" t="n"/>
      <c r="J24" s="24" t="n"/>
      <c r="Q24" s="25" t="n"/>
      <c r="Z24" s="20" t="n"/>
      <c r="AW24" s="6" t="n"/>
      <c r="AX24" s="64" t="n"/>
    </row>
    <row r="25" s="63" thickBot="1" thickTop="1">
      <c r="A25" s="5" t="n"/>
      <c r="B25" s="1" t="n"/>
      <c r="C25" s="1" t="inlineStr">
        <is>
          <t>Race1-4</t>
        </is>
      </c>
      <c r="H25" s="20" t="n"/>
      <c r="I25" s="25" t="n"/>
      <c r="J25" s="24" t="n"/>
      <c r="K25" s="1" t="n"/>
      <c r="L25" s="1" t="inlineStr">
        <is>
          <t>Race2-4</t>
        </is>
      </c>
      <c r="Q25" s="25" t="n"/>
      <c r="T25" s="1" t="n"/>
      <c r="U25" s="1" t="inlineStr">
        <is>
          <t>Race3-2</t>
        </is>
      </c>
      <c r="Z25" s="20" t="n"/>
      <c r="AC25" s="1" t="n"/>
      <c r="AD25" s="1" t="n"/>
      <c r="AL25" s="1" t="n"/>
      <c r="AU25" s="1" t="n"/>
      <c r="AW25" s="6" t="n"/>
      <c r="AX25" s="64" t="n"/>
    </row>
    <row r="26" ht="19.5" customHeight="1" s="63" thickTop="1">
      <c r="A26" s="5" t="n"/>
      <c r="B26" s="7" t="n"/>
      <c r="C26" s="8">
        <f>IF(予選順位入力!$B$27="","",予選順位入力!$B$27)</f>
        <v/>
      </c>
      <c r="D26" s="1" t="inlineStr">
        <is>
          <t>１・２位</t>
        </is>
      </c>
      <c r="E26" s="12" t="n"/>
      <c r="F26" s="12" t="n"/>
      <c r="G26" s="12" t="n"/>
      <c r="H26" s="26" t="n"/>
      <c r="I26" s="51" t="n"/>
      <c r="J26" s="52" t="n"/>
      <c r="K26" s="7" t="n"/>
      <c r="L26" s="30">
        <f>IFERROR(INDEX($C$20:$C$23,MATCH(4,$B$20:$B$23,0)),"")</f>
        <v/>
      </c>
      <c r="M26" s="27" t="inlineStr">
        <is>
          <t>１・２位</t>
        </is>
      </c>
      <c r="P26" s="12" t="n"/>
      <c r="Q26" s="43" t="n"/>
      <c r="T26" s="7" t="n"/>
      <c r="U26" s="30">
        <f>IFERROR(INDEX($L$20:$L$23,MATCH(3,$K$20:$K$23,0)),"")</f>
        <v/>
      </c>
      <c r="V26" s="27" t="inlineStr">
        <is>
          <t>１・２位</t>
        </is>
      </c>
      <c r="W26" s="12" t="n"/>
      <c r="X26" s="12" t="n"/>
      <c r="Y26" s="12" t="n"/>
      <c r="Z26" s="26" t="n"/>
      <c r="AE26" s="1" t="n"/>
      <c r="AN26" s="1" t="n"/>
      <c r="AW26" s="6" t="n"/>
      <c r="AX26" s="64" t="n"/>
    </row>
    <row r="27" ht="20.25" customHeight="1" s="63">
      <c r="A27" s="5" t="n"/>
      <c r="B27" s="7" t="n"/>
      <c r="C27" s="8">
        <f>IF(予選順位入力!$B$29="","",予選順位入力!$B$29)</f>
        <v/>
      </c>
      <c r="D27" s="13" t="n"/>
      <c r="E27" s="10" t="n"/>
      <c r="F27" s="10" t="n"/>
      <c r="H27" s="10" t="n"/>
      <c r="I27" s="25" t="n"/>
      <c r="J27" s="24" t="n"/>
      <c r="K27" s="7" t="n"/>
      <c r="L27" s="30">
        <f>IFERROR(INDEX($C$20:$C$23,MATCH(3,$B$20:$B$23,0)),"")</f>
        <v/>
      </c>
      <c r="M27" s="13" t="n"/>
      <c r="N27" s="10" t="n"/>
      <c r="O27" s="10" t="n"/>
      <c r="P27" s="10" t="n"/>
      <c r="Q27" s="10" t="n"/>
      <c r="R27" s="54" t="n"/>
      <c r="S27" s="15" t="n"/>
      <c r="T27" s="7" t="n"/>
      <c r="U27" s="30">
        <f>IFERROR(INDEX($L$20:$L$23,MATCH(4,$K$20:$K$23,0)),"")</f>
        <v/>
      </c>
      <c r="V27" s="13" t="n"/>
      <c r="AW27" s="6" t="n"/>
      <c r="AX27" s="64" t="n"/>
    </row>
    <row r="28" ht="20.25" customHeight="1" s="63">
      <c r="A28" s="5" t="n"/>
      <c r="B28" s="7" t="n"/>
      <c r="C28" s="8">
        <f>IF(予選順位入力!$B$31="","",予選順位入力!$B$31)</f>
        <v/>
      </c>
      <c r="D28" s="17" t="inlineStr">
        <is>
          <t>３・４位</t>
        </is>
      </c>
      <c r="E28" s="18" t="n"/>
      <c r="F28" s="18" t="n"/>
      <c r="G28" s="18" t="n"/>
      <c r="H28" s="18" t="n"/>
      <c r="I28" s="48" t="n"/>
      <c r="J28" s="53" t="n"/>
      <c r="K28" s="7" t="n"/>
      <c r="L28" s="30">
        <f>IFERROR(INDEX($C$26:$C$29,MATCH(3,$B$26:$B$29,0)),"")</f>
        <v/>
      </c>
      <c r="M28" s="32" t="n"/>
      <c r="R28" s="28" t="n"/>
      <c r="S28" s="29" t="n"/>
      <c r="T28" s="7" t="n"/>
      <c r="U28" s="30">
        <f>IFERROR(INDEX($L$26:$L$29,MATCH(1,$K$26:$K$29,0)),"")</f>
        <v/>
      </c>
      <c r="AW28" s="6" t="n"/>
      <c r="AX28" s="64" t="n"/>
    </row>
    <row r="29" ht="19.5" customHeight="1" s="63" thickBot="1">
      <c r="A29" s="5" t="n"/>
      <c r="B29" s="7" t="n"/>
      <c r="C29" s="8">
        <f>IF(予選順位入力!$B$33="","",予選順位入力!$B$33)</f>
        <v/>
      </c>
      <c r="K29" s="7" t="n"/>
      <c r="L29" s="30">
        <f>IFERROR(INDEX($C$26:$C$29,MATCH(4,$B$26:$B$29,0)),"")</f>
        <v/>
      </c>
      <c r="M29" s="16" t="n"/>
      <c r="T29" s="7" t="n"/>
      <c r="U29" s="30">
        <f>IFERROR(INDEX($L$26:$L$29,MATCH(2,$K$26:$K$29,0)),"")</f>
        <v/>
      </c>
      <c r="AW29" s="6" t="n"/>
      <c r="AX29" s="64" t="n"/>
    </row>
    <row r="30" s="63" thickBot="1" thickTop="1">
      <c r="A30" s="37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9" t="n"/>
      <c r="AX30" s="64" t="n"/>
    </row>
    <row r="31" s="63" thickBot="1" thickTop="1"/>
    <row r="32" s="63" thickTop="1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4" t="n"/>
      <c r="AX32" s="58" t="inlineStr">
        <is>
          <t>A
MAIN
16名</t>
        </is>
      </c>
    </row>
    <row r="33" s="63">
      <c r="A33" s="5" t="n"/>
      <c r="B33" s="1" t="n"/>
      <c r="C33" s="1" t="inlineStr">
        <is>
          <t>Race1-5</t>
        </is>
      </c>
      <c r="K33" s="1" t="n"/>
      <c r="L33" s="1" t="inlineStr">
        <is>
          <t>Race2-5</t>
        </is>
      </c>
      <c r="T33" s="40" t="n"/>
      <c r="U33" s="1" t="inlineStr">
        <is>
          <t>Race3-3</t>
        </is>
      </c>
      <c r="AC33" s="1" t="n"/>
      <c r="AL33" s="1" t="n"/>
      <c r="AU33" s="1" t="n"/>
      <c r="AV33" s="1" t="inlineStr">
        <is>
          <t>Race6-1</t>
        </is>
      </c>
      <c r="AW33" s="6" t="n"/>
      <c r="AX33" s="64" t="n"/>
    </row>
    <row r="34" ht="19.5" customHeight="1" s="63">
      <c r="A34" s="5" t="n"/>
      <c r="B34" s="7" t="n"/>
      <c r="C34" s="41">
        <f>IF(予選順位入力!$B$2="","",予選順位入力!$B$2)</f>
        <v/>
      </c>
      <c r="D34" s="1" t="inlineStr">
        <is>
          <t>１・２位</t>
        </is>
      </c>
      <c r="K34" s="7" t="n"/>
      <c r="L34" s="41">
        <f>IFERROR(INDEX($C$34:$C$37,MATCH(1,$B$34:$B$37,0)),"")</f>
        <v/>
      </c>
      <c r="M34" s="1" t="inlineStr">
        <is>
          <t>１・２位</t>
        </is>
      </c>
      <c r="T34" s="7" t="n"/>
      <c r="U34" s="41">
        <f>IFERROR(INDEX($L$34:$L$37,MATCH(1,$K$34:$K$37,0)),"")</f>
        <v/>
      </c>
      <c r="V34" s="1" t="inlineStr">
        <is>
          <t>１・２位</t>
        </is>
      </c>
      <c r="AU34" s="7" t="n"/>
      <c r="AV34" s="41">
        <f>IFERROR(INDEX($U$34:$U$37,MATCH(1,$T$34:$T$37,0)),"")</f>
        <v/>
      </c>
      <c r="AW34" s="6" t="n"/>
      <c r="AX34" s="64" t="n"/>
    </row>
    <row r="35" ht="20.25" customHeight="1" s="63" thickBot="1">
      <c r="A35" s="5" t="n"/>
      <c r="B35" s="7" t="n"/>
      <c r="C35" s="41">
        <f>IF(予選順位入力!$B$9="","",予選順位入力!$B$9)</f>
        <v/>
      </c>
      <c r="D35" s="9" t="n"/>
      <c r="E35" s="10" t="n"/>
      <c r="F35" s="10" t="n"/>
      <c r="G35" s="10" t="n"/>
      <c r="H35" s="14" t="n"/>
      <c r="J35" s="35" t="n"/>
      <c r="K35" s="7" t="n"/>
      <c r="L35" s="41">
        <f>IFERROR(INDEX($C$34:$C$37,MATCH(2,$B$34:$B$37,0)),"")</f>
        <v/>
      </c>
      <c r="M35" s="9" t="n"/>
      <c r="N35" s="10" t="n"/>
      <c r="O35" s="10" t="n"/>
      <c r="P35" s="10" t="n"/>
      <c r="Q35" s="10" t="n"/>
      <c r="R35" s="10" t="n"/>
      <c r="S35" s="15" t="n"/>
      <c r="T35" s="7" t="n"/>
      <c r="U35" s="41">
        <f>IFERROR(INDEX($L$34:$L$37,MATCH(2,$K$34:$K$37,0)),"")</f>
        <v/>
      </c>
      <c r="V35" s="13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5" t="n"/>
      <c r="AU35" s="7" t="n"/>
      <c r="AV35" s="41">
        <f>IFERROR(INDEX($U$34:$U$37,MATCH(2,$T$34:$T$37,0)),"")</f>
        <v/>
      </c>
      <c r="AW35" s="6" t="n"/>
      <c r="AX35" s="64" t="n"/>
    </row>
    <row r="36" ht="20.25" customHeight="1" s="63" thickBot="1" thickTop="1">
      <c r="A36" s="5" t="n"/>
      <c r="B36" s="7" t="n"/>
      <c r="C36" s="41">
        <f>IF(予選順位入力!$B$10="","",予選順位入力!$B$10)</f>
        <v/>
      </c>
      <c r="D36" s="42" t="inlineStr">
        <is>
          <t>３・４位</t>
        </is>
      </c>
      <c r="E36" s="18" t="n"/>
      <c r="F36" s="18" t="n"/>
      <c r="G36" s="18" t="n"/>
      <c r="H36" s="20" t="n"/>
      <c r="I36" s="10" t="n"/>
      <c r="J36" s="15" t="n"/>
      <c r="K36" s="7" t="n"/>
      <c r="L36" s="41">
        <f>IFERROR(INDEX($C$40:$C$43,MATCH(1,$B$40:$B$43,0)),"")</f>
        <v/>
      </c>
      <c r="M36" s="17" t="inlineStr">
        <is>
          <t>３・４位</t>
        </is>
      </c>
      <c r="N36" s="18" t="n"/>
      <c r="O36" s="18" t="n"/>
      <c r="R36" s="12" t="n"/>
      <c r="S36" s="36" t="n"/>
      <c r="T36" s="7" t="n"/>
      <c r="U36" s="41">
        <f>IFERROR(INDEX($L$40:$L$43,MATCH(1,$K$40:$K$43,0)),"")</f>
        <v/>
      </c>
      <c r="V36" s="17" t="inlineStr">
        <is>
          <t>３・４位</t>
        </is>
      </c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U36" s="7" t="n"/>
      <c r="AV36" s="41">
        <f>IFERROR(INDEX($AM$40:$AM$43,MATCH(1,$AL$40:$AL$43,0)),"")</f>
        <v/>
      </c>
      <c r="AW36" s="6" t="n"/>
      <c r="AX36" s="64" t="n"/>
    </row>
    <row r="37" ht="19.5" customHeight="1" s="63" thickBot="1" thickTop="1">
      <c r="A37" s="5" t="n"/>
      <c r="B37" s="7" t="n"/>
      <c r="C37" s="41">
        <f>IF(予選順位入力!$B$17="","",予選順位入力!$B$17)</f>
        <v/>
      </c>
      <c r="D37" s="34" t="n"/>
      <c r="G37" s="25" t="n"/>
      <c r="H37" s="20" t="n"/>
      <c r="K37" s="7" t="n"/>
      <c r="L37" s="41">
        <f>IFERROR(INDEX($C$40:$C$43,MATCH(2,$B$40:$B$43,0)),"")</f>
        <v/>
      </c>
      <c r="O37" s="21" t="n"/>
      <c r="P37" s="23" t="n"/>
      <c r="Q37" s="20" t="n"/>
      <c r="T37" s="7" t="n"/>
      <c r="U37" s="41">
        <f>IFERROR(INDEX($L$40:$L$43,MATCH(2,$K$40:$K$43,0)),"")</f>
        <v/>
      </c>
      <c r="AG37" s="21" t="n"/>
      <c r="AH37" s="23" t="n"/>
      <c r="AR37" s="19" t="n"/>
      <c r="AS37" s="10" t="n"/>
      <c r="AT37" s="10" t="n"/>
      <c r="AU37" s="7" t="n"/>
      <c r="AV37" s="41">
        <f>IFERROR(INDEX($AM$40:$AM$43,MATCH(2,$AL$40:$AL$43,0)),"")</f>
        <v/>
      </c>
      <c r="AW37" s="6" t="n"/>
      <c r="AX37" s="64" t="n"/>
    </row>
    <row r="38" s="63" thickTop="1">
      <c r="A38" s="5" t="n"/>
      <c r="G38" s="25" t="n"/>
      <c r="H38" s="20" t="n"/>
      <c r="P38" s="25" t="n"/>
      <c r="Q38" s="20" t="n"/>
      <c r="AH38" s="25" t="n"/>
      <c r="AR38" s="33" t="n"/>
      <c r="AW38" s="6" t="n"/>
      <c r="AX38" s="64" t="n"/>
    </row>
    <row r="39" s="63">
      <c r="A39" s="5" t="n"/>
      <c r="B39" s="1" t="n"/>
      <c r="C39" s="1" t="inlineStr">
        <is>
          <t>Race1-6</t>
        </is>
      </c>
      <c r="G39" s="25" t="n"/>
      <c r="H39" s="20" t="n"/>
      <c r="K39" s="40" t="n"/>
      <c r="L39" s="1" t="inlineStr">
        <is>
          <t>Race2-6</t>
        </is>
      </c>
      <c r="P39" s="25" t="n"/>
      <c r="Q39" s="20" t="n"/>
      <c r="T39" s="1" t="n"/>
      <c r="AC39" s="1" t="n"/>
      <c r="AH39" s="25" t="n"/>
      <c r="AL39" s="1" t="n"/>
      <c r="AM39" s="1" t="inlineStr">
        <is>
          <t>Race5-1</t>
        </is>
      </c>
      <c r="AR39" s="33" t="n"/>
      <c r="AU39" s="1" t="n"/>
      <c r="AW39" s="6" t="n"/>
      <c r="AX39" s="64" t="n"/>
    </row>
    <row r="40" ht="19.5" customHeight="1" s="63">
      <c r="A40" s="5" t="n"/>
      <c r="B40" s="7" t="n"/>
      <c r="C40" s="41">
        <f>IF(予選順位入力!$B$5="","",予選順位入力!$B$5)</f>
        <v/>
      </c>
      <c r="D40" s="1" t="inlineStr">
        <is>
          <t>１・２位</t>
        </is>
      </c>
      <c r="E40" s="12" t="n"/>
      <c r="F40" s="12" t="n"/>
      <c r="G40" s="43" t="n"/>
      <c r="H40" s="26" t="n"/>
      <c r="K40" s="7" t="n"/>
      <c r="L40" s="41">
        <f>IFERROR(INDEX($C$46:$C$49,MATCH(1,$B$46:$B$49,0)),"")</f>
        <v/>
      </c>
      <c r="M40" s="1" t="inlineStr">
        <is>
          <t>１・２位</t>
        </is>
      </c>
      <c r="N40" s="12" t="n"/>
      <c r="O40" s="12" t="n"/>
      <c r="P40" s="25" t="n"/>
      <c r="Q40" s="26" t="n"/>
      <c r="AH40" s="25" t="n"/>
      <c r="AL40" s="7" t="n"/>
      <c r="AM40" s="44">
        <f>IFERROR(INDEX($U$34:$U$37,MATCH(3,$T$34:$T$37,0)),"")</f>
        <v/>
      </c>
      <c r="AN40" s="1" t="inlineStr">
        <is>
          <t>１・２位</t>
        </is>
      </c>
      <c r="AP40" s="12" t="n"/>
      <c r="AQ40" s="26" t="n"/>
      <c r="AR40" s="33" t="n"/>
      <c r="AW40" s="6" t="n"/>
      <c r="AX40" s="64" t="n"/>
    </row>
    <row r="41" ht="20.25" customHeight="1" s="63" thickBot="1">
      <c r="A41" s="5" t="n"/>
      <c r="B41" s="7" t="n"/>
      <c r="C41" s="41">
        <f>IF(予選順位入力!$B$6="","",予選順位入力!$B$6)</f>
        <v/>
      </c>
      <c r="D41" s="13" t="n"/>
      <c r="E41" s="10" t="n"/>
      <c r="G41" s="25" t="n"/>
      <c r="K41" s="7" t="n"/>
      <c r="L41" s="41">
        <f>IFERROR(INDEX($C$46:$C$49,MATCH(2,$B$46:$B$49,0)),"")</f>
        <v/>
      </c>
      <c r="M41" s="13" t="n"/>
      <c r="N41" s="10" t="n"/>
      <c r="P41" s="45" t="n"/>
      <c r="AI41" s="21" t="n"/>
      <c r="AJ41" s="21" t="n"/>
      <c r="AK41" s="46" t="n"/>
      <c r="AL41" s="7" t="n"/>
      <c r="AM41" s="44">
        <f>IFERROR(INDEX($U$34:$U$37,MATCH(4,$T$34:$T$37,0)),"")</f>
        <v/>
      </c>
      <c r="AN41" s="13" t="n"/>
      <c r="AO41" s="10" t="n"/>
      <c r="AW41" s="6" t="n"/>
      <c r="AX41" s="64" t="n"/>
    </row>
    <row r="42" ht="20.25" customHeight="1" s="63" thickBot="1" thickTop="1">
      <c r="A42" s="5" t="n"/>
      <c r="B42" s="7" t="n"/>
      <c r="C42" s="41">
        <f>IF(予選順位入力!$B$13="","",予選順位入力!$B$13)</f>
        <v/>
      </c>
      <c r="D42" s="42" t="inlineStr">
        <is>
          <t>３・４位</t>
        </is>
      </c>
      <c r="G42" s="25" t="n"/>
      <c r="I42" s="19" t="n"/>
      <c r="J42" s="10" t="n"/>
      <c r="K42" s="7" t="n"/>
      <c r="L42" s="41">
        <f>IFERROR(INDEX($C$52:$C$55,MATCH(1,$B$52:$B$55,0)),"")</f>
        <v/>
      </c>
      <c r="M42" s="42" t="inlineStr">
        <is>
          <t>３・４位</t>
        </is>
      </c>
      <c r="P42" s="25" t="n"/>
      <c r="AK42" s="35" t="n"/>
      <c r="AL42" s="7" t="n"/>
      <c r="AM42" s="44">
        <f>IFERROR(INDEX($AD$46:$AD$49,MATCH(1,$AC$46:$AC$49,0)),"")</f>
        <v/>
      </c>
      <c r="AW42" s="6" t="n"/>
      <c r="AX42" s="64" t="n"/>
    </row>
    <row r="43" ht="19.5" customHeight="1" s="63" thickBot="1" thickTop="1">
      <c r="A43" s="5" t="n"/>
      <c r="B43" s="7" t="n"/>
      <c r="C43" s="41">
        <f>IF(予選順位入力!$B$14="","",予選順位入力!$B$14)</f>
        <v/>
      </c>
      <c r="D43" s="34" t="n"/>
      <c r="E43" s="21" t="n"/>
      <c r="F43" s="21" t="n"/>
      <c r="G43" s="23" t="n"/>
      <c r="I43" s="33" t="n"/>
      <c r="K43" s="7" t="n"/>
      <c r="L43" s="41">
        <f>IFERROR(INDEX($C$52:$C$55,MATCH(2,$B$52:$B$55,0)),"")</f>
        <v/>
      </c>
      <c r="M43" s="34" t="n"/>
      <c r="N43" s="21" t="n"/>
      <c r="O43" s="21" t="n"/>
      <c r="P43" s="23" t="n"/>
      <c r="T43" s="42" t="n"/>
      <c r="AH43" s="20" t="n"/>
      <c r="AI43" s="10" t="n"/>
      <c r="AJ43" s="10" t="n"/>
      <c r="AK43" s="15" t="n"/>
      <c r="AL43" s="7" t="n"/>
      <c r="AM43" s="44">
        <f>IFERROR(INDEX($AD$46:$AD$49,MATCH(2,$AC$46:$AC$49,0)),"")</f>
        <v/>
      </c>
      <c r="AW43" s="6" t="n"/>
      <c r="AX43" s="64" t="n"/>
    </row>
    <row r="44" s="63" thickTop="1">
      <c r="A44" s="5" t="n"/>
      <c r="G44" s="25" t="n"/>
      <c r="I44" s="33" t="n"/>
      <c r="P44" s="25" t="n"/>
      <c r="AH44" s="20" t="n"/>
      <c r="AW44" s="6" t="n"/>
      <c r="AX44" s="64" t="n"/>
    </row>
    <row r="45" s="63">
      <c r="A45" s="5" t="n"/>
      <c r="B45" s="1" t="n"/>
      <c r="C45" s="1" t="inlineStr">
        <is>
          <t>Race1-7</t>
        </is>
      </c>
      <c r="G45" s="25" t="n"/>
      <c r="I45" s="33" t="n"/>
      <c r="K45" s="40" t="n"/>
      <c r="L45" s="1" t="inlineStr">
        <is>
          <t>Race2-7</t>
        </is>
      </c>
      <c r="P45" s="25" t="n"/>
      <c r="T45" s="40" t="n"/>
      <c r="U45" s="1" t="inlineStr">
        <is>
          <t>Race3-4</t>
        </is>
      </c>
      <c r="AC45" s="40" t="n"/>
      <c r="AD45" s="1" t="inlineStr">
        <is>
          <t>Race4-3</t>
        </is>
      </c>
      <c r="AH45" s="20" t="n"/>
      <c r="AL45" s="1" t="n"/>
      <c r="AU45" s="1" t="n"/>
      <c r="AW45" s="6" t="n"/>
      <c r="AX45" s="64" t="n"/>
    </row>
    <row r="46" ht="19.5" customHeight="1" s="63">
      <c r="A46" s="5" t="n"/>
      <c r="B46" s="7" t="n"/>
      <c r="C46" s="41">
        <f>IF(予選順位入力!$B$4="","",予選順位入力!$B$4)</f>
        <v/>
      </c>
      <c r="D46" s="1" t="inlineStr">
        <is>
          <t>１・２位</t>
        </is>
      </c>
      <c r="E46" s="12" t="n"/>
      <c r="G46" s="25" t="n"/>
      <c r="I46" s="33" t="n"/>
      <c r="K46" s="7" t="n"/>
      <c r="L46" s="47">
        <f>IFERROR(INDEX($C$34:$C$37,MATCH(4,$B$34:$B$37,0)),"")</f>
        <v/>
      </c>
      <c r="M46" s="42" t="inlineStr">
        <is>
          <t>１・２位</t>
        </is>
      </c>
      <c r="P46" s="25" t="n"/>
      <c r="T46" s="7" t="n"/>
      <c r="U46" s="47">
        <f>IFERROR(INDEX($L$34:$L$37,MATCH(4,$K$34:$K$37,0)),"")</f>
        <v/>
      </c>
      <c r="V46" s="1" t="inlineStr">
        <is>
          <t>１・２位</t>
        </is>
      </c>
      <c r="AC46" s="7" t="n"/>
      <c r="AD46" s="47">
        <f>IFERROR(INDEX($U$46:$U$49,MATCH(1,$T$46:$T$49,0)),"")</f>
        <v/>
      </c>
      <c r="AE46" s="31" t="inlineStr">
        <is>
          <t>１・２位</t>
        </is>
      </c>
      <c r="AF46" s="12" t="n"/>
      <c r="AG46" s="12" t="n"/>
      <c r="AH46" s="26" t="n"/>
      <c r="AW46" s="6" t="n"/>
      <c r="AX46" s="64" t="n"/>
    </row>
    <row r="47" ht="20.25" customHeight="1" s="63">
      <c r="A47" s="5" t="n"/>
      <c r="B47" s="7" t="n"/>
      <c r="C47" s="41">
        <f>IF(予選順位入力!$B$7="","",予選順位入力!$B$7)</f>
        <v/>
      </c>
      <c r="D47" s="13" t="n"/>
      <c r="E47" s="10" t="n"/>
      <c r="F47" s="10" t="n"/>
      <c r="G47" s="45" t="n"/>
      <c r="H47" s="14" t="n"/>
      <c r="K47" s="7" t="n"/>
      <c r="L47" s="47">
        <f>IFERROR(INDEX($C$40:$C$43,MATCH(3,$B$40:$B$43,0)),"")</f>
        <v/>
      </c>
      <c r="M47" s="34" t="n"/>
      <c r="N47" s="21" t="n"/>
      <c r="O47" s="21" t="n"/>
      <c r="P47" s="23" t="n"/>
      <c r="T47" s="7" t="n"/>
      <c r="U47" s="47">
        <f>IFERROR(INDEX($L$40:$L$43,MATCH(3,$K$40:$K$43,0)),"")</f>
        <v/>
      </c>
      <c r="V47" s="10" t="n"/>
      <c r="W47" s="10" t="n"/>
      <c r="X47" s="10" t="n"/>
      <c r="Y47" s="10" t="n"/>
      <c r="Z47" s="10" t="n"/>
      <c r="AA47" s="10" t="n"/>
      <c r="AB47" s="10" t="n"/>
      <c r="AC47" s="7" t="n"/>
      <c r="AD47" s="47">
        <f>IFERROR(INDEX($U$46:$U$49,MATCH(2,$T$46:$T$49,0)),"")</f>
        <v/>
      </c>
      <c r="AW47" s="6" t="n"/>
      <c r="AX47" s="64" t="n"/>
    </row>
    <row r="48" ht="20.25" customHeight="1" s="63">
      <c r="A48" s="5" t="n"/>
      <c r="B48" s="7" t="n"/>
      <c r="C48" s="41">
        <f>IF(予選順位入力!$B$11="","",予選順位入力!$B$11)</f>
        <v/>
      </c>
      <c r="D48" s="42" t="inlineStr">
        <is>
          <t>３・４位</t>
        </is>
      </c>
      <c r="E48" s="18" t="n"/>
      <c r="F48" s="18" t="n"/>
      <c r="G48" s="48" t="n"/>
      <c r="H48" s="22" t="n"/>
      <c r="I48" s="21" t="n"/>
      <c r="J48" s="46" t="n"/>
      <c r="K48" s="7" t="n"/>
      <c r="L48" s="47">
        <f>IFERROR(INDEX($C$46:$C$49,MATCH(3,$B$46:$B$49,0)),"")</f>
        <v/>
      </c>
      <c r="M48" s="16" t="n"/>
      <c r="P48" s="25" t="n"/>
      <c r="Q48" s="21" t="n"/>
      <c r="R48" s="21" t="n"/>
      <c r="S48" s="46" t="n"/>
      <c r="T48" s="7" t="n"/>
      <c r="U48" s="47">
        <f>IFERROR(INDEX($L$46:$L$49,MATCH(2,$K$46:$K$49,0)),"")</f>
        <v/>
      </c>
      <c r="Z48" s="12" t="n"/>
      <c r="AA48" s="12" t="n"/>
      <c r="AB48" s="36" t="n"/>
      <c r="AC48" s="7" t="n"/>
      <c r="AD48" s="47">
        <f>IFERROR(INDEX($U$52:$U$55,MATCH(1,$T$52:$T$55,0)),"")</f>
        <v/>
      </c>
      <c r="AW48" s="6" t="n"/>
      <c r="AX48" s="64" t="n"/>
    </row>
    <row r="49" ht="19.5" customHeight="1" s="63">
      <c r="A49" s="5" t="n"/>
      <c r="B49" s="7" t="n"/>
      <c r="C49" s="41">
        <f>IF(予選順位入力!$B$15="","",予選順位入力!$B$15)</f>
        <v/>
      </c>
      <c r="D49" s="34" t="n"/>
      <c r="G49" s="25" t="n"/>
      <c r="H49" s="20" t="n"/>
      <c r="K49" s="7" t="n"/>
      <c r="L49" s="47">
        <f>IFERROR(INDEX($C$52:$C$55,MATCH(4,$B$52:$B$55,0)),"")</f>
        <v/>
      </c>
      <c r="M49" s="16" t="n"/>
      <c r="P49" s="25" t="n"/>
      <c r="T49" s="7" t="n"/>
      <c r="U49" s="47">
        <f>IFERROR(INDEX($L$52:$L$55,MATCH(1,$K$52:$K$55,0)),"")</f>
        <v/>
      </c>
      <c r="Y49" s="20" t="n"/>
      <c r="AC49" s="7" t="n"/>
      <c r="AD49" s="47">
        <f>IFERROR(INDEX($U$52:$U$55,MATCH(2,$T$52:$T$55,0)),"")</f>
        <v/>
      </c>
      <c r="AW49" s="6" t="n"/>
      <c r="AX49" s="64" t="n"/>
    </row>
    <row r="50" s="63">
      <c r="A50" s="5" t="n"/>
      <c r="G50" s="25" t="n"/>
      <c r="H50" s="20" t="n"/>
      <c r="P50" s="25" t="n"/>
      <c r="Y50" s="20" t="n"/>
      <c r="AW50" s="6" t="n"/>
      <c r="AX50" s="64" t="n"/>
    </row>
    <row r="51" s="63">
      <c r="A51" s="5" t="n"/>
      <c r="B51" s="1" t="n"/>
      <c r="C51" s="1" t="inlineStr">
        <is>
          <t>Race1-8</t>
        </is>
      </c>
      <c r="G51" s="25" t="n"/>
      <c r="H51" s="20" t="n"/>
      <c r="K51" s="1" t="n"/>
      <c r="L51" s="1" t="inlineStr">
        <is>
          <t>Race2-8</t>
        </is>
      </c>
      <c r="P51" s="25" t="n"/>
      <c r="T51" s="40" t="n"/>
      <c r="U51" s="1" t="inlineStr">
        <is>
          <t>Race3-5</t>
        </is>
      </c>
      <c r="Y51" s="20" t="n"/>
      <c r="AC51" s="1" t="n"/>
      <c r="AL51" s="1" t="n"/>
      <c r="AU51" s="1" t="n"/>
      <c r="AW51" s="6" t="n"/>
      <c r="AX51" s="64" t="n"/>
    </row>
    <row r="52" ht="19.5" customHeight="1" s="63">
      <c r="A52" s="5" t="n"/>
      <c r="B52" s="7" t="n"/>
      <c r="C52" s="41">
        <f>IF(予選順位入力!$B$3="","",予選順位入力!$B$3)</f>
        <v/>
      </c>
      <c r="D52" s="1" t="inlineStr">
        <is>
          <t>１・２位</t>
        </is>
      </c>
      <c r="G52" s="25" t="n"/>
      <c r="H52" s="26" t="n"/>
      <c r="K52" s="7" t="n"/>
      <c r="L52" s="47">
        <f>IFERROR(INDEX($C$34:$C$37,MATCH(3,$B$34:$B$37,0)),"")</f>
        <v/>
      </c>
      <c r="M52" s="42" t="inlineStr">
        <is>
          <t>１・２位</t>
        </is>
      </c>
      <c r="O52" s="18" t="n"/>
      <c r="P52" s="25" t="n"/>
      <c r="T52" s="7" t="n"/>
      <c r="U52" s="47">
        <f>IFERROR(INDEX($L$34:$L$37,MATCH(3,$K$34:$K$37,0)),"")</f>
        <v/>
      </c>
      <c r="V52" s="1" t="inlineStr">
        <is>
          <t>１・２位</t>
        </is>
      </c>
      <c r="W52" s="61" t="n"/>
      <c r="X52" s="61" t="n"/>
      <c r="Y52" s="20" t="n"/>
      <c r="AW52" s="6" t="n"/>
      <c r="AX52" s="64" t="n"/>
    </row>
    <row r="53" ht="20.25" customHeight="1" s="63">
      <c r="A53" s="5" t="n"/>
      <c r="B53" s="7" t="n"/>
      <c r="C53" s="41">
        <f>IF(予選順位入力!$B$8="","",予選順位入力!$B$8)</f>
        <v/>
      </c>
      <c r="D53" s="13" t="n"/>
      <c r="E53" s="10" t="n"/>
      <c r="F53" s="10" t="n"/>
      <c r="G53" s="45" t="n"/>
      <c r="H53" s="10" t="n"/>
      <c r="K53" s="7" t="n"/>
      <c r="L53" s="47">
        <f>IFERROR(INDEX($C$40:$C$43,MATCH(4,$B$40:$B$43,0)),"")</f>
        <v/>
      </c>
      <c r="M53" s="34" t="n"/>
      <c r="N53" s="21" t="n"/>
      <c r="O53" s="21" t="n"/>
      <c r="P53" s="23" t="n"/>
      <c r="Q53" s="18" t="n"/>
      <c r="R53" s="18" t="n"/>
      <c r="S53" s="29" t="n"/>
      <c r="T53" s="7" t="n"/>
      <c r="U53" s="47">
        <f>IFERROR(INDEX($L$40:$L$43,MATCH(4,$K$40:$K$43,0)),"")</f>
        <v/>
      </c>
      <c r="V53" s="62" t="n"/>
      <c r="W53" s="10" t="n"/>
      <c r="X53" s="10" t="n"/>
      <c r="Y53" s="10" t="n"/>
      <c r="AW53" s="6" t="n"/>
      <c r="AX53" s="64" t="n"/>
    </row>
    <row r="54" ht="20.25" customHeight="1" s="63">
      <c r="A54" s="5" t="n"/>
      <c r="B54" s="7" t="n"/>
      <c r="C54" s="41">
        <f>IF(予選順位入力!$B$12="","",予選順位入力!$B$12)</f>
        <v/>
      </c>
      <c r="D54" s="17" t="inlineStr">
        <is>
          <t>３・４位</t>
        </is>
      </c>
      <c r="E54" s="18" t="n"/>
      <c r="F54" s="18" t="n"/>
      <c r="G54" s="48" t="n"/>
      <c r="H54" s="21" t="n"/>
      <c r="I54" s="21" t="n"/>
      <c r="J54" s="46" t="n"/>
      <c r="K54" s="7" t="n"/>
      <c r="L54" s="47">
        <f>IFERROR(INDEX($C$46:$C$49,MATCH(4,$B$46:$B$49,0)),"")</f>
        <v/>
      </c>
      <c r="T54" s="7" t="n"/>
      <c r="U54" s="47">
        <f>IFERROR(INDEX($L$46:$L$49,MATCH(1,$K$46:$K$49,0)),"")</f>
        <v/>
      </c>
      <c r="V54" s="16" t="n"/>
      <c r="AW54" s="6" t="n"/>
      <c r="AX54" s="64" t="n"/>
    </row>
    <row r="55" ht="19.5" customHeight="1" s="63">
      <c r="A55" s="5" t="n"/>
      <c r="B55" s="7" t="n"/>
      <c r="C55" s="41">
        <f>IF(予選順位入力!$B$16="","",予選順位入力!$B$16)</f>
        <v/>
      </c>
      <c r="K55" s="7" t="n"/>
      <c r="L55" s="47">
        <f>IFERROR(INDEX($C$52:$C$55,MATCH(3,$B$52:$B$55,0)),"")</f>
        <v/>
      </c>
      <c r="T55" s="7" t="n"/>
      <c r="U55" s="47">
        <f>IFERROR(INDEX($L$52:$L$55,MATCH(2,$K$52:$K$55,0)),"")</f>
        <v/>
      </c>
      <c r="AW55" s="6" t="n"/>
      <c r="AX55" s="64" t="n"/>
    </row>
    <row r="56">
      <c r="A56" s="37" t="n"/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  <c r="AC56" s="38" t="n"/>
      <c r="AD56" s="38" t="n"/>
      <c r="AE56" s="38" t="n"/>
      <c r="AF56" s="38" t="n"/>
      <c r="AG56" s="38" t="n"/>
      <c r="AH56" s="38" t="n"/>
      <c r="AI56" s="38" t="n"/>
      <c r="AJ56" s="38" t="n"/>
      <c r="AK56" s="38" t="n"/>
      <c r="AL56" s="38" t="n"/>
      <c r="AM56" s="38" t="n"/>
      <c r="AN56" s="38" t="n"/>
      <c r="AO56" s="38" t="n"/>
      <c r="AP56" s="38" t="n"/>
      <c r="AQ56" s="38" t="n"/>
      <c r="AR56" s="38" t="n"/>
      <c r="AS56" s="38" t="n"/>
      <c r="AT56" s="38" t="n"/>
      <c r="AU56" s="38" t="n"/>
      <c r="AV56" s="38" t="n"/>
      <c r="AW56" s="39" t="n"/>
      <c r="AX56" s="64" t="n"/>
    </row>
  </sheetData>
  <mergeCells count="3">
    <mergeCell ref="AX32:AY56"/>
    <mergeCell ref="AX18:AY30"/>
    <mergeCell ref="AX4:AY16"/>
  </mergeCells>
  <dataValidations count="1">
    <dataValidation sqref="B6:B9 B12:B15 B20:B23 B26:B29 B34:B37 B40:B43 B46:B49 B52:B55 K6:K9 K12:K15 K20:K23 K26:K29 K34:K37 K40:K43 K46:K49 K52:K55 T12:T15 T26:T29 T34:T37 T46:T49 T52:T55 AC6:AC9 AC20:AC23 AC46:AC49 AL40:AL43 AU34:AU37" showDropDown="0" showInputMessage="0" showErrorMessage="1" allowBlank="1" errorTitle="着順の入力" error="そのレースの着順を 1〜4 の整数で入力してください。" type="whole" operator="between">
      <formula1>1</formula1>
      <formula2>4</formula2>
    </dataValidation>
  </dataValidations>
  <pageMargins left="0.7086614173228347" right="0.7086614173228347" top="0.7480314960629921" bottom="0.7480314960629921" header="0.3149606299212598" footer="0.3149606299212598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Y56"/>
  <sheetViews>
    <sheetView tabSelected="1" topLeftCell="A1" workbookViewId="0">
      <selection activeCell="V43" sqref="V43"/>
    </sheetView>
  </sheetViews>
  <sheetFormatPr baseColWidth="8" defaultRowHeight="18.75"/>
  <cols>
    <col width="4.625" customWidth="1" style="63" min="1" max="2"/>
    <col width="14.625" customWidth="1" style="63" min="3" max="3"/>
    <col width="2.125" customWidth="1" style="63" min="4" max="10"/>
    <col width="4.625" customWidth="1" style="63" min="11" max="11"/>
    <col width="14.625" customWidth="1" style="63" min="12" max="12"/>
    <col width="2.125" customWidth="1" style="63" min="13" max="19"/>
    <col width="4.625" customWidth="1" style="63" min="20" max="20"/>
    <col width="14.625" customWidth="1" style="63" min="21" max="21"/>
    <col width="2.125" customWidth="1" style="63" min="22" max="28"/>
    <col width="4.625" customWidth="1" style="63" min="29" max="29"/>
    <col width="14.625" customWidth="1" style="63" min="30" max="30"/>
    <col width="2.125" customWidth="1" style="63" min="31" max="37"/>
    <col width="4.625" customWidth="1" style="63" min="38" max="38"/>
    <col width="14.625" customWidth="1" style="63" min="39" max="39"/>
    <col width="2.125" customWidth="1" style="63" min="40" max="46"/>
    <col width="4.625" customWidth="1" style="63" min="47" max="47"/>
    <col width="14.625" customWidth="1" style="63" min="48" max="48"/>
    <col width="4.625" customWidth="1" style="63" min="49" max="49"/>
  </cols>
  <sheetData>
    <row r="1" s="63">
      <c r="C1" s="1" t="inlineStr">
        <is>
          <t>１回戦</t>
        </is>
      </c>
      <c r="L1" s="1" t="inlineStr">
        <is>
          <t>２回戦</t>
        </is>
      </c>
      <c r="U1" s="1" t="inlineStr">
        <is>
          <t>３回戦</t>
        </is>
      </c>
      <c r="AD1" s="1" t="inlineStr">
        <is>
          <t>４回戦(B・C決勝戦)</t>
        </is>
      </c>
      <c r="AM1" s="1" t="inlineStr">
        <is>
          <t>５回戦</t>
        </is>
      </c>
      <c r="AV1" s="1" t="inlineStr">
        <is>
          <t>A決勝戦</t>
        </is>
      </c>
    </row>
    <row r="2" s="63">
      <c r="C2" s="1" t="n"/>
      <c r="L2" s="1" t="n"/>
      <c r="U2" s="1" t="n"/>
      <c r="AD2" s="1" t="n"/>
      <c r="AM2" s="1" t="n"/>
      <c r="AV2" s="1" t="n"/>
    </row>
    <row r="3" s="63"/>
    <row r="4" s="63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4" t="n"/>
      <c r="AX4" s="55" t="inlineStr">
        <is>
          <t>B
MAIN
8名</t>
        </is>
      </c>
    </row>
    <row r="5" s="63">
      <c r="A5" s="5" t="n"/>
      <c r="B5" s="1" t="n"/>
      <c r="C5" s="1" t="inlineStr">
        <is>
          <t>Race1-1</t>
        </is>
      </c>
      <c r="K5" s="1" t="n"/>
      <c r="L5" s="1" t="inlineStr">
        <is>
          <t>Race2-1</t>
        </is>
      </c>
      <c r="T5" s="1" t="n"/>
      <c r="U5" s="1" t="n"/>
      <c r="AC5" s="1" t="n"/>
      <c r="AD5" s="1" t="inlineStr">
        <is>
          <t>Race4-1</t>
        </is>
      </c>
      <c r="AL5" s="1" t="n"/>
      <c r="AM5" s="1" t="n"/>
      <c r="AU5" s="1" t="n"/>
      <c r="AV5" s="1" t="n"/>
      <c r="AW5" s="6" t="n"/>
      <c r="AX5" s="64" t="n"/>
    </row>
    <row r="6" ht="19.5" customHeight="1" s="63">
      <c r="A6" s="5" t="n"/>
      <c r="B6" s="7" t="n"/>
      <c r="C6" s="8" t="inlineStr">
        <is>
          <t>予選17位</t>
        </is>
      </c>
      <c r="D6" s="1" t="inlineStr">
        <is>
          <t>１・２位</t>
        </is>
      </c>
      <c r="K6" s="7" t="n"/>
      <c r="L6" s="8" t="inlineStr">
        <is>
          <t>R1-1　１位</t>
        </is>
      </c>
      <c r="M6" s="1" t="inlineStr">
        <is>
          <t>１・２位</t>
        </is>
      </c>
      <c r="V6" s="1" t="n"/>
      <c r="AC6" s="7" t="n"/>
      <c r="AD6" s="8" t="inlineStr">
        <is>
          <t>R2-1　１位</t>
        </is>
      </c>
      <c r="AW6" s="6" t="n"/>
      <c r="AX6" s="64" t="n"/>
    </row>
    <row r="7" ht="20.25" customHeight="1" s="63">
      <c r="A7" s="5" t="n"/>
      <c r="B7" s="7" t="n"/>
      <c r="C7" s="8" t="inlineStr">
        <is>
          <t>予選19位</t>
        </is>
      </c>
      <c r="D7" s="9" t="n"/>
      <c r="E7" s="10" t="n"/>
      <c r="F7" s="10" t="n"/>
      <c r="G7" s="10" t="n"/>
      <c r="H7" s="10" t="n"/>
      <c r="I7" s="11" t="n"/>
      <c r="J7" s="12" t="n"/>
      <c r="K7" s="7" t="n"/>
      <c r="L7" s="8" t="inlineStr">
        <is>
          <t>R1-1　２位</t>
        </is>
      </c>
      <c r="M7" s="13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7" t="n"/>
      <c r="AD7" s="8" t="inlineStr">
        <is>
          <t>R2-1　２位</t>
        </is>
      </c>
      <c r="AW7" s="6" t="n"/>
      <c r="AX7" s="64" t="n"/>
    </row>
    <row r="8" ht="20.25" customHeight="1" s="63">
      <c r="A8" s="5" t="n"/>
      <c r="B8" s="7" t="n"/>
      <c r="C8" s="8" t="inlineStr">
        <is>
          <t>予選21位</t>
        </is>
      </c>
      <c r="D8" s="17" t="inlineStr">
        <is>
          <t>３・４位</t>
        </is>
      </c>
      <c r="E8" s="18" t="n"/>
      <c r="F8" s="18" t="n"/>
      <c r="I8" s="19" t="n"/>
      <c r="J8" s="10" t="n"/>
      <c r="K8" s="7" t="n"/>
      <c r="L8" s="8" t="inlineStr">
        <is>
          <t>R1-2　１位</t>
        </is>
      </c>
      <c r="M8" s="17" t="inlineStr">
        <is>
          <t>３・４位</t>
        </is>
      </c>
      <c r="V8" s="42" t="n"/>
      <c r="AC8" s="7" t="n"/>
      <c r="AD8" s="8" t="inlineStr">
        <is>
          <t>R3-1　１位</t>
        </is>
      </c>
      <c r="AW8" s="6" t="n"/>
      <c r="AX8" s="64" t="n"/>
    </row>
    <row r="9" ht="19.5" customHeight="1" s="63" thickBot="1">
      <c r="A9" s="5" t="n"/>
      <c r="B9" s="7" t="n"/>
      <c r="C9" s="8" t="inlineStr">
        <is>
          <t>予選23位</t>
        </is>
      </c>
      <c r="G9" s="21" t="n"/>
      <c r="H9" s="21" t="n"/>
      <c r="I9" s="50" t="n"/>
      <c r="J9" s="24" t="n"/>
      <c r="K9" s="7" t="n"/>
      <c r="L9" s="8" t="inlineStr">
        <is>
          <t>R1-2　２位</t>
        </is>
      </c>
      <c r="M9" s="21" t="n"/>
      <c r="N9" s="21" t="n"/>
      <c r="O9" s="21" t="n"/>
      <c r="P9" s="21" t="n"/>
      <c r="Q9" s="23" t="n"/>
      <c r="Z9" s="20" t="n"/>
      <c r="AA9" s="19" t="n"/>
      <c r="AB9" s="15" t="n"/>
      <c r="AC9" s="7" t="n"/>
      <c r="AD9" s="8" t="inlineStr">
        <is>
          <t>R3-1　２位</t>
        </is>
      </c>
      <c r="AW9" s="6" t="n"/>
      <c r="AX9" s="64" t="n"/>
    </row>
    <row r="10" s="63" thickBot="1" thickTop="1">
      <c r="A10" s="5" t="n"/>
      <c r="H10" s="20" t="n"/>
      <c r="I10" s="25" t="n"/>
      <c r="J10" s="24" t="n"/>
      <c r="Q10" s="25" t="n"/>
      <c r="Z10" s="20" t="n"/>
      <c r="AW10" s="6" t="n"/>
      <c r="AX10" s="64" t="n"/>
    </row>
    <row r="11" s="63" thickBot="1" thickTop="1">
      <c r="A11" s="5" t="n"/>
      <c r="B11" s="1" t="n"/>
      <c r="C11" s="1" t="inlineStr">
        <is>
          <t>Race1-2</t>
        </is>
      </c>
      <c r="H11" s="20" t="n"/>
      <c r="I11" s="25" t="n"/>
      <c r="J11" s="24" t="n"/>
      <c r="K11" s="1" t="n"/>
      <c r="L11" s="1" t="inlineStr">
        <is>
          <t>Race2-2</t>
        </is>
      </c>
      <c r="Q11" s="25" t="n"/>
      <c r="T11" s="1" t="n"/>
      <c r="U11" s="1" t="inlineStr">
        <is>
          <t>Race3-1</t>
        </is>
      </c>
      <c r="Z11" s="20" t="n"/>
      <c r="AC11" s="1" t="n"/>
      <c r="AD11" s="1" t="n"/>
      <c r="AL11" s="1" t="n"/>
      <c r="AU11" s="1" t="n"/>
      <c r="AW11" s="6" t="n"/>
      <c r="AX11" s="64" t="n"/>
    </row>
    <row r="12" ht="19.5" customHeight="1" s="63" thickTop="1">
      <c r="A12" s="5" t="n"/>
      <c r="B12" s="7" t="n"/>
      <c r="C12" s="8" t="inlineStr">
        <is>
          <t>予選18位</t>
        </is>
      </c>
      <c r="D12" s="1" t="inlineStr">
        <is>
          <t>１・２位</t>
        </is>
      </c>
      <c r="E12" s="12" t="n"/>
      <c r="F12" s="12" t="n"/>
      <c r="G12" s="12" t="n"/>
      <c r="H12" s="26" t="n"/>
      <c r="I12" s="51" t="n"/>
      <c r="J12" s="52" t="n"/>
      <c r="K12" s="7" t="n"/>
      <c r="L12" s="30" t="inlineStr">
        <is>
          <t>R1-1　４位</t>
        </is>
      </c>
      <c r="M12" s="27" t="inlineStr">
        <is>
          <t>１・２位</t>
        </is>
      </c>
      <c r="P12" s="12" t="n"/>
      <c r="Q12" s="43" t="n"/>
      <c r="T12" s="7" t="n"/>
      <c r="U12" s="30" t="inlineStr">
        <is>
          <t>R2-1　３位</t>
        </is>
      </c>
      <c r="V12" s="27" t="inlineStr">
        <is>
          <t>１・２位</t>
        </is>
      </c>
      <c r="W12" s="12" t="n"/>
      <c r="X12" s="12" t="n"/>
      <c r="Y12" s="12" t="n"/>
      <c r="Z12" s="26" t="n"/>
      <c r="AE12" s="1" t="n"/>
      <c r="AN12" s="1" t="n"/>
      <c r="AW12" s="6" t="n"/>
      <c r="AX12" s="64" t="n"/>
    </row>
    <row r="13" ht="20.25" customHeight="1" s="63">
      <c r="A13" s="5" t="n"/>
      <c r="B13" s="7" t="n"/>
      <c r="C13" s="8" t="inlineStr">
        <is>
          <t>予選20位</t>
        </is>
      </c>
      <c r="D13" s="13" t="n"/>
      <c r="E13" s="10" t="n"/>
      <c r="F13" s="10" t="n"/>
      <c r="H13" s="10" t="n"/>
      <c r="I13" s="25" t="n"/>
      <c r="J13" s="24" t="n"/>
      <c r="K13" s="7" t="n"/>
      <c r="L13" s="30" t="inlineStr">
        <is>
          <t>R1-1　３位</t>
        </is>
      </c>
      <c r="M13" s="13" t="n"/>
      <c r="N13" s="10" t="n"/>
      <c r="O13" s="10" t="n"/>
      <c r="P13" s="10" t="n"/>
      <c r="Q13" s="10" t="n"/>
      <c r="R13" s="54" t="n"/>
      <c r="S13" s="15" t="n"/>
      <c r="T13" s="7" t="n"/>
      <c r="U13" s="30" t="inlineStr">
        <is>
          <t>R2-1　４位</t>
        </is>
      </c>
      <c r="V13" s="13" t="n"/>
      <c r="AW13" s="6" t="n"/>
      <c r="AX13" s="64" t="n"/>
    </row>
    <row r="14" ht="20.25" customHeight="1" s="63">
      <c r="A14" s="5" t="n"/>
      <c r="B14" s="7" t="n"/>
      <c r="C14" s="8" t="inlineStr">
        <is>
          <t>予選22位</t>
        </is>
      </c>
      <c r="D14" s="17" t="inlineStr">
        <is>
          <t>３・４位</t>
        </is>
      </c>
      <c r="E14" s="18" t="n"/>
      <c r="F14" s="18" t="n"/>
      <c r="G14" s="18" t="n"/>
      <c r="H14" s="18" t="n"/>
      <c r="I14" s="48" t="n"/>
      <c r="J14" s="53" t="n"/>
      <c r="K14" s="7" t="n"/>
      <c r="L14" s="30" t="inlineStr">
        <is>
          <t>R1-2　３位</t>
        </is>
      </c>
      <c r="M14" s="32" t="n"/>
      <c r="R14" s="28" t="n"/>
      <c r="S14" s="29" t="n"/>
      <c r="T14" s="7" t="n"/>
      <c r="U14" s="30" t="inlineStr">
        <is>
          <t>R2-2　１位</t>
        </is>
      </c>
      <c r="AW14" s="6" t="n"/>
      <c r="AX14" s="64" t="n"/>
    </row>
    <row r="15" ht="19.5" customHeight="1" s="63" thickBot="1">
      <c r="A15" s="5" t="n"/>
      <c r="B15" s="7" t="n"/>
      <c r="C15" s="8" t="inlineStr">
        <is>
          <t>予選24位</t>
        </is>
      </c>
      <c r="K15" s="7" t="n"/>
      <c r="L15" s="30" t="inlineStr">
        <is>
          <t>R1-2　４位</t>
        </is>
      </c>
      <c r="M15" s="16" t="n"/>
      <c r="T15" s="7" t="n"/>
      <c r="U15" s="30" t="inlineStr">
        <is>
          <t>R2-2　２位</t>
        </is>
      </c>
      <c r="AW15" s="6" t="n"/>
      <c r="AX15" s="64" t="n"/>
    </row>
    <row r="16" s="63" thickBot="1" thickTop="1">
      <c r="A16" s="37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9" t="n"/>
      <c r="AX16" s="64" t="n"/>
    </row>
    <row r="17" s="63" thickBot="1" thickTop="1"/>
    <row r="18" s="63" thickTop="1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4" t="n"/>
      <c r="AX18" s="65" t="inlineStr">
        <is>
          <t>C
MAIN
7・8名</t>
        </is>
      </c>
    </row>
    <row r="19" s="63">
      <c r="A19" s="5" t="n"/>
      <c r="B19" s="1" t="n"/>
      <c r="C19" s="1" t="inlineStr">
        <is>
          <t>Race1-3</t>
        </is>
      </c>
      <c r="K19" s="1" t="n"/>
      <c r="L19" s="1" t="inlineStr">
        <is>
          <t>Race2-3</t>
        </is>
      </c>
      <c r="T19" s="1" t="n"/>
      <c r="U19" s="1" t="n"/>
      <c r="AC19" s="1" t="n"/>
      <c r="AD19" s="1" t="inlineStr">
        <is>
          <t>Race4-2</t>
        </is>
      </c>
      <c r="AL19" s="1" t="n"/>
      <c r="AM19" s="1" t="n"/>
      <c r="AU19" s="1" t="n"/>
      <c r="AV19" s="1" t="n"/>
      <c r="AW19" s="6" t="n"/>
      <c r="AX19" s="64" t="n"/>
    </row>
    <row r="20" ht="19.5" customHeight="1" s="63">
      <c r="A20" s="5" t="n"/>
      <c r="B20" s="7" t="n"/>
      <c r="C20" s="8" t="inlineStr">
        <is>
          <t>予選25位</t>
        </is>
      </c>
      <c r="D20" s="1" t="inlineStr">
        <is>
          <t>１・２位</t>
        </is>
      </c>
      <c r="K20" s="7" t="n"/>
      <c r="L20" s="8" t="inlineStr">
        <is>
          <t>R1-3　１位</t>
        </is>
      </c>
      <c r="M20" s="1" t="inlineStr">
        <is>
          <t>１・２位</t>
        </is>
      </c>
      <c r="V20" s="1" t="n"/>
      <c r="AC20" s="7" t="n"/>
      <c r="AD20" s="8" t="inlineStr">
        <is>
          <t>R2-3　１位</t>
        </is>
      </c>
      <c r="AW20" s="6" t="n"/>
      <c r="AX20" s="64" t="n"/>
    </row>
    <row r="21" ht="20.25" customHeight="1" s="63">
      <c r="A21" s="5" t="n"/>
      <c r="B21" s="7" t="n"/>
      <c r="C21" s="8" t="inlineStr">
        <is>
          <t>予選27位</t>
        </is>
      </c>
      <c r="D21" s="9" t="n"/>
      <c r="E21" s="10" t="n"/>
      <c r="F21" s="10" t="n"/>
      <c r="G21" s="10" t="n"/>
      <c r="H21" s="10" t="n"/>
      <c r="I21" s="11" t="n"/>
      <c r="J21" s="12" t="n"/>
      <c r="K21" s="7" t="n"/>
      <c r="L21" s="8" t="inlineStr">
        <is>
          <t>R1-3　２位</t>
        </is>
      </c>
      <c r="M21" s="13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7" t="n"/>
      <c r="AD21" s="8" t="inlineStr">
        <is>
          <t>R2-3　２位</t>
        </is>
      </c>
      <c r="AW21" s="6" t="n"/>
      <c r="AX21" s="64" t="n"/>
    </row>
    <row r="22" ht="20.25" customHeight="1" s="63">
      <c r="A22" s="5" t="n"/>
      <c r="B22" s="7" t="n"/>
      <c r="C22" s="8" t="inlineStr">
        <is>
          <t>予選29位</t>
        </is>
      </c>
      <c r="D22" s="17" t="inlineStr">
        <is>
          <t>３・４位</t>
        </is>
      </c>
      <c r="E22" s="18" t="n"/>
      <c r="F22" s="18" t="n"/>
      <c r="I22" s="19" t="n"/>
      <c r="J22" s="10" t="n"/>
      <c r="K22" s="7" t="n"/>
      <c r="L22" s="8" t="inlineStr">
        <is>
          <t>R1-4　１位</t>
        </is>
      </c>
      <c r="M22" s="17" t="inlineStr">
        <is>
          <t>３・４位</t>
        </is>
      </c>
      <c r="V22" s="42" t="n"/>
      <c r="AC22" s="7" t="n"/>
      <c r="AD22" s="8" t="inlineStr">
        <is>
          <t>R3-2　１位</t>
        </is>
      </c>
      <c r="AW22" s="6" t="n"/>
      <c r="AX22" s="64" t="n"/>
    </row>
    <row r="23" ht="19.5" customHeight="1" s="63" thickBot="1">
      <c r="A23" s="5" t="n"/>
      <c r="B23" s="7" t="n"/>
      <c r="C23" s="8" t="inlineStr">
        <is>
          <t>予選31位</t>
        </is>
      </c>
      <c r="G23" s="21" t="n"/>
      <c r="H23" s="21" t="n"/>
      <c r="I23" s="50" t="n"/>
      <c r="J23" s="24" t="n"/>
      <c r="K23" s="7" t="n"/>
      <c r="L23" s="8" t="inlineStr">
        <is>
          <t>R1-4　２位</t>
        </is>
      </c>
      <c r="M23" s="21" t="n"/>
      <c r="N23" s="21" t="n"/>
      <c r="O23" s="21" t="n"/>
      <c r="P23" s="21" t="n"/>
      <c r="Q23" s="23" t="n"/>
      <c r="Z23" s="20" t="n"/>
      <c r="AA23" s="19" t="n"/>
      <c r="AB23" s="15" t="n"/>
      <c r="AC23" s="7" t="n"/>
      <c r="AD23" s="8" t="inlineStr">
        <is>
          <t>R3-2　２位</t>
        </is>
      </c>
      <c r="AW23" s="6" t="n"/>
      <c r="AX23" s="64" t="n"/>
    </row>
    <row r="24" s="63" thickBot="1" thickTop="1">
      <c r="A24" s="5" t="n"/>
      <c r="H24" s="20" t="n"/>
      <c r="I24" s="25" t="n"/>
      <c r="J24" s="24" t="n"/>
      <c r="Q24" s="25" t="n"/>
      <c r="Z24" s="20" t="n"/>
      <c r="AW24" s="6" t="n"/>
      <c r="AX24" s="64" t="n"/>
    </row>
    <row r="25" s="63" thickBot="1" thickTop="1">
      <c r="A25" s="5" t="n"/>
      <c r="B25" s="1" t="n"/>
      <c r="C25" s="1" t="inlineStr">
        <is>
          <t>Race1-4</t>
        </is>
      </c>
      <c r="H25" s="20" t="n"/>
      <c r="I25" s="25" t="n"/>
      <c r="J25" s="24" t="n"/>
      <c r="K25" s="1" t="n"/>
      <c r="L25" s="1" t="inlineStr">
        <is>
          <t>Race2-4</t>
        </is>
      </c>
      <c r="Q25" s="25" t="n"/>
      <c r="T25" s="1" t="n"/>
      <c r="U25" s="1" t="inlineStr">
        <is>
          <t>Race3-2</t>
        </is>
      </c>
      <c r="Z25" s="20" t="n"/>
      <c r="AC25" s="1" t="n"/>
      <c r="AD25" s="1" t="n"/>
      <c r="AL25" s="1" t="n"/>
      <c r="AU25" s="1" t="n"/>
      <c r="AW25" s="6" t="n"/>
      <c r="AX25" s="64" t="n"/>
    </row>
    <row r="26" ht="19.5" customHeight="1" s="63" thickTop="1">
      <c r="A26" s="5" t="n"/>
      <c r="B26" s="7" t="n"/>
      <c r="C26" s="8" t="inlineStr">
        <is>
          <t>予選26位</t>
        </is>
      </c>
      <c r="D26" s="1" t="inlineStr">
        <is>
          <t>１・２位</t>
        </is>
      </c>
      <c r="E26" s="12" t="n"/>
      <c r="F26" s="12" t="n"/>
      <c r="G26" s="12" t="n"/>
      <c r="H26" s="26" t="n"/>
      <c r="I26" s="51" t="n"/>
      <c r="J26" s="52" t="n"/>
      <c r="K26" s="7" t="n"/>
      <c r="L26" s="30" t="inlineStr">
        <is>
          <t>R1-3　４位</t>
        </is>
      </c>
      <c r="M26" s="27" t="inlineStr">
        <is>
          <t>１・２位</t>
        </is>
      </c>
      <c r="P26" s="12" t="n"/>
      <c r="Q26" s="43" t="n"/>
      <c r="T26" s="7" t="n"/>
      <c r="U26" s="30" t="inlineStr">
        <is>
          <t>R2-3　３位</t>
        </is>
      </c>
      <c r="V26" s="27" t="inlineStr">
        <is>
          <t>１・２位</t>
        </is>
      </c>
      <c r="W26" s="12" t="n"/>
      <c r="X26" s="12" t="n"/>
      <c r="Y26" s="12" t="n"/>
      <c r="Z26" s="26" t="n"/>
      <c r="AE26" s="1" t="n"/>
      <c r="AN26" s="1" t="n"/>
      <c r="AW26" s="6" t="n"/>
      <c r="AX26" s="64" t="n"/>
    </row>
    <row r="27" ht="20.25" customHeight="1" s="63">
      <c r="A27" s="5" t="n"/>
      <c r="B27" s="7" t="n"/>
      <c r="C27" s="8" t="inlineStr">
        <is>
          <t>予選28位</t>
        </is>
      </c>
      <c r="D27" s="13" t="n"/>
      <c r="E27" s="10" t="n"/>
      <c r="F27" s="10" t="n"/>
      <c r="H27" s="10" t="n"/>
      <c r="I27" s="25" t="n"/>
      <c r="J27" s="24" t="n"/>
      <c r="K27" s="7" t="n"/>
      <c r="L27" s="30" t="inlineStr">
        <is>
          <t>R1-3　３位</t>
        </is>
      </c>
      <c r="M27" s="13" t="n"/>
      <c r="N27" s="10" t="n"/>
      <c r="O27" s="10" t="n"/>
      <c r="P27" s="10" t="n"/>
      <c r="Q27" s="10" t="n"/>
      <c r="R27" s="54" t="n"/>
      <c r="S27" s="15" t="n"/>
      <c r="T27" s="7" t="n"/>
      <c r="U27" s="30" t="inlineStr">
        <is>
          <t>R2-3　４位</t>
        </is>
      </c>
      <c r="V27" s="13" t="n"/>
      <c r="AW27" s="6" t="n"/>
      <c r="AX27" s="64" t="n"/>
    </row>
    <row r="28" ht="20.25" customHeight="1" s="63">
      <c r="A28" s="5" t="n"/>
      <c r="B28" s="7" t="n"/>
      <c r="C28" s="8" t="inlineStr">
        <is>
          <t>予選30位</t>
        </is>
      </c>
      <c r="D28" s="17" t="inlineStr">
        <is>
          <t>３・４位</t>
        </is>
      </c>
      <c r="E28" s="18" t="n"/>
      <c r="F28" s="18" t="n"/>
      <c r="G28" s="18" t="n"/>
      <c r="H28" s="18" t="n"/>
      <c r="I28" s="48" t="n"/>
      <c r="J28" s="53" t="n"/>
      <c r="K28" s="7" t="n"/>
      <c r="L28" s="30" t="inlineStr">
        <is>
          <t>R1-4　３位</t>
        </is>
      </c>
      <c r="M28" s="32" t="n"/>
      <c r="R28" s="28" t="n"/>
      <c r="S28" s="29" t="n"/>
      <c r="T28" s="7" t="n"/>
      <c r="U28" s="30" t="inlineStr">
        <is>
          <t>R2-4　１位</t>
        </is>
      </c>
      <c r="AW28" s="6" t="n"/>
      <c r="AX28" s="64" t="n"/>
    </row>
    <row r="29" ht="19.5" customHeight="1" s="63" thickBot="1">
      <c r="A29" s="5" t="n"/>
      <c r="B29" s="7" t="n"/>
      <c r="C29" s="8" t="inlineStr">
        <is>
          <t>予選32位</t>
        </is>
      </c>
      <c r="K29" s="7" t="n"/>
      <c r="L29" s="30" t="inlineStr">
        <is>
          <t>R1-4　４位</t>
        </is>
      </c>
      <c r="M29" s="16" t="n"/>
      <c r="T29" s="7" t="n"/>
      <c r="U29" s="30" t="inlineStr">
        <is>
          <t>R2-4　２位</t>
        </is>
      </c>
      <c r="AW29" s="6" t="n"/>
      <c r="AX29" s="64" t="n"/>
    </row>
    <row r="30" s="63" thickBot="1" thickTop="1">
      <c r="A30" s="37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9" t="n"/>
      <c r="AX30" s="64" t="n"/>
    </row>
    <row r="31" s="63" thickBot="1" thickTop="1"/>
    <row r="32" s="63" thickTop="1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4" t="n"/>
      <c r="AX32" s="58" t="inlineStr">
        <is>
          <t>A
MAIN
16名</t>
        </is>
      </c>
    </row>
    <row r="33" s="63">
      <c r="A33" s="5" t="n"/>
      <c r="B33" s="1" t="n"/>
      <c r="C33" s="1" t="inlineStr">
        <is>
          <t>Race1-5</t>
        </is>
      </c>
      <c r="K33" s="1" t="n"/>
      <c r="L33" s="1" t="inlineStr">
        <is>
          <t>Race2-5</t>
        </is>
      </c>
      <c r="T33" s="40" t="n"/>
      <c r="U33" s="1" t="inlineStr">
        <is>
          <t>Race3-3</t>
        </is>
      </c>
      <c r="AC33" s="1" t="n"/>
      <c r="AL33" s="1" t="n"/>
      <c r="AU33" s="1" t="n"/>
      <c r="AV33" s="1" t="inlineStr">
        <is>
          <t>Race6-1</t>
        </is>
      </c>
      <c r="AW33" s="6" t="n"/>
      <c r="AX33" s="64" t="n"/>
    </row>
    <row r="34" ht="19.5" customHeight="1" s="63">
      <c r="A34" s="5" t="n"/>
      <c r="B34" s="7" t="n"/>
      <c r="C34" s="41" t="inlineStr">
        <is>
          <t>予選1位</t>
        </is>
      </c>
      <c r="D34" s="1" t="inlineStr">
        <is>
          <t>１・２位</t>
        </is>
      </c>
      <c r="K34" s="7" t="n"/>
      <c r="L34" s="41" t="inlineStr">
        <is>
          <t>R1-5　１位</t>
        </is>
      </c>
      <c r="M34" s="1" t="inlineStr">
        <is>
          <t>１・２位</t>
        </is>
      </c>
      <c r="T34" s="7" t="n"/>
      <c r="U34" s="41" t="inlineStr">
        <is>
          <t>R2-5　１位</t>
        </is>
      </c>
      <c r="V34" s="1" t="inlineStr">
        <is>
          <t>１・２位</t>
        </is>
      </c>
      <c r="AU34" s="7" t="n"/>
      <c r="AV34" s="41" t="inlineStr">
        <is>
          <t>R3-3　１位</t>
        </is>
      </c>
      <c r="AW34" s="6" t="n"/>
      <c r="AX34" s="64" t="n"/>
    </row>
    <row r="35" ht="20.25" customHeight="1" s="63" thickBot="1">
      <c r="A35" s="5" t="n"/>
      <c r="B35" s="7" t="n"/>
      <c r="C35" s="41" t="inlineStr">
        <is>
          <t>予選8位</t>
        </is>
      </c>
      <c r="D35" s="9" t="n"/>
      <c r="E35" s="10" t="n"/>
      <c r="F35" s="10" t="n"/>
      <c r="G35" s="10" t="n"/>
      <c r="H35" s="14" t="n"/>
      <c r="J35" s="35" t="n"/>
      <c r="K35" s="7" t="n"/>
      <c r="L35" s="41" t="inlineStr">
        <is>
          <t>R1-5　２位</t>
        </is>
      </c>
      <c r="M35" s="9" t="n"/>
      <c r="N35" s="10" t="n"/>
      <c r="O35" s="10" t="n"/>
      <c r="P35" s="10" t="n"/>
      <c r="Q35" s="10" t="n"/>
      <c r="R35" s="10" t="n"/>
      <c r="S35" s="15" t="n"/>
      <c r="T35" s="7" t="n"/>
      <c r="U35" s="41" t="inlineStr">
        <is>
          <t>R2-5　２位</t>
        </is>
      </c>
      <c r="V35" s="13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5" t="n"/>
      <c r="AU35" s="7" t="n"/>
      <c r="AV35" s="41" t="inlineStr">
        <is>
          <t>R3-3　２位</t>
        </is>
      </c>
      <c r="AW35" s="6" t="n"/>
      <c r="AX35" s="64" t="n"/>
    </row>
    <row r="36" ht="20.25" customHeight="1" s="63" thickBot="1" thickTop="1">
      <c r="A36" s="5" t="n"/>
      <c r="B36" s="7" t="n"/>
      <c r="C36" s="41" t="inlineStr">
        <is>
          <t>予選9位</t>
        </is>
      </c>
      <c r="D36" s="42" t="inlineStr">
        <is>
          <t>３・４位</t>
        </is>
      </c>
      <c r="E36" s="18" t="n"/>
      <c r="F36" s="18" t="n"/>
      <c r="G36" s="18" t="n"/>
      <c r="H36" s="20" t="n"/>
      <c r="I36" s="10" t="n"/>
      <c r="J36" s="15" t="n"/>
      <c r="K36" s="7" t="n"/>
      <c r="L36" s="41" t="inlineStr">
        <is>
          <t>R1-6　１位</t>
        </is>
      </c>
      <c r="M36" s="17" t="inlineStr">
        <is>
          <t>３・４位</t>
        </is>
      </c>
      <c r="N36" s="18" t="n"/>
      <c r="O36" s="18" t="n"/>
      <c r="R36" s="12" t="n"/>
      <c r="S36" s="36" t="n"/>
      <c r="T36" s="7" t="n"/>
      <c r="U36" s="41" t="inlineStr">
        <is>
          <t>R2-6　１位</t>
        </is>
      </c>
      <c r="V36" s="17" t="inlineStr">
        <is>
          <t>３・４位</t>
        </is>
      </c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U36" s="7" t="n"/>
      <c r="AV36" s="41" t="inlineStr">
        <is>
          <t>R5-1　１位</t>
        </is>
      </c>
      <c r="AW36" s="6" t="n"/>
      <c r="AX36" s="64" t="n"/>
    </row>
    <row r="37" ht="19.5" customHeight="1" s="63" thickBot="1" thickTop="1">
      <c r="A37" s="5" t="n"/>
      <c r="B37" s="7" t="n"/>
      <c r="C37" s="41" t="inlineStr">
        <is>
          <t>予選16位</t>
        </is>
      </c>
      <c r="D37" s="34" t="n"/>
      <c r="G37" s="25" t="n"/>
      <c r="H37" s="20" t="n"/>
      <c r="K37" s="7" t="n"/>
      <c r="L37" s="41" t="inlineStr">
        <is>
          <t>R1-6　２位</t>
        </is>
      </c>
      <c r="O37" s="21" t="n"/>
      <c r="P37" s="23" t="n"/>
      <c r="Q37" s="20" t="n"/>
      <c r="T37" s="7" t="n"/>
      <c r="U37" s="41" t="inlineStr">
        <is>
          <t>R2-6　２位</t>
        </is>
      </c>
      <c r="AG37" s="21" t="n"/>
      <c r="AH37" s="23" t="n"/>
      <c r="AR37" s="19" t="n"/>
      <c r="AS37" s="10" t="n"/>
      <c r="AT37" s="10" t="n"/>
      <c r="AU37" s="7" t="n"/>
      <c r="AV37" s="41" t="inlineStr">
        <is>
          <t>R5-1　２位</t>
        </is>
      </c>
      <c r="AW37" s="6" t="n"/>
      <c r="AX37" s="64" t="n"/>
    </row>
    <row r="38" s="63" thickTop="1">
      <c r="A38" s="5" t="n"/>
      <c r="G38" s="25" t="n"/>
      <c r="H38" s="20" t="n"/>
      <c r="P38" s="25" t="n"/>
      <c r="Q38" s="20" t="n"/>
      <c r="AH38" s="25" t="n"/>
      <c r="AR38" s="33" t="n"/>
      <c r="AW38" s="6" t="n"/>
      <c r="AX38" s="64" t="n"/>
    </row>
    <row r="39" s="63">
      <c r="A39" s="5" t="n"/>
      <c r="B39" s="1" t="n"/>
      <c r="C39" s="1" t="inlineStr">
        <is>
          <t>Race1-6</t>
        </is>
      </c>
      <c r="G39" s="25" t="n"/>
      <c r="H39" s="20" t="n"/>
      <c r="K39" s="40" t="n"/>
      <c r="L39" s="1" t="inlineStr">
        <is>
          <t>Race2-6</t>
        </is>
      </c>
      <c r="P39" s="25" t="n"/>
      <c r="Q39" s="20" t="n"/>
      <c r="T39" s="1" t="n"/>
      <c r="AC39" s="1" t="n"/>
      <c r="AH39" s="25" t="n"/>
      <c r="AL39" s="1" t="n"/>
      <c r="AM39" s="1" t="inlineStr">
        <is>
          <t>Race5-1</t>
        </is>
      </c>
      <c r="AR39" s="33" t="n"/>
      <c r="AU39" s="1" t="n"/>
      <c r="AW39" s="6" t="n"/>
      <c r="AX39" s="64" t="n"/>
    </row>
    <row r="40" ht="19.5" customHeight="1" s="63">
      <c r="A40" s="5" t="n"/>
      <c r="B40" s="7" t="n"/>
      <c r="C40" s="41" t="inlineStr">
        <is>
          <t>予選4位</t>
        </is>
      </c>
      <c r="D40" s="1" t="inlineStr">
        <is>
          <t>１・２位</t>
        </is>
      </c>
      <c r="E40" s="12" t="n"/>
      <c r="F40" s="12" t="n"/>
      <c r="G40" s="43" t="n"/>
      <c r="H40" s="26" t="n"/>
      <c r="K40" s="7" t="n"/>
      <c r="L40" s="41" t="inlineStr">
        <is>
          <t>R1-7　１位</t>
        </is>
      </c>
      <c r="M40" s="1" t="inlineStr">
        <is>
          <t>１・２位</t>
        </is>
      </c>
      <c r="N40" s="12" t="n"/>
      <c r="O40" s="12" t="n"/>
      <c r="P40" s="25" t="n"/>
      <c r="Q40" s="26" t="n"/>
      <c r="AH40" s="25" t="n"/>
      <c r="AL40" s="7" t="n"/>
      <c r="AM40" s="44" t="inlineStr">
        <is>
          <t>R3-3　３位</t>
        </is>
      </c>
      <c r="AN40" s="1" t="inlineStr">
        <is>
          <t>１・２位</t>
        </is>
      </c>
      <c r="AP40" s="12" t="n"/>
      <c r="AQ40" s="26" t="n"/>
      <c r="AR40" s="33" t="n"/>
      <c r="AW40" s="6" t="n"/>
      <c r="AX40" s="64" t="n"/>
    </row>
    <row r="41" ht="20.25" customHeight="1" s="63" thickBot="1">
      <c r="A41" s="5" t="n"/>
      <c r="B41" s="7" t="n"/>
      <c r="C41" s="41" t="inlineStr">
        <is>
          <t>予選5位</t>
        </is>
      </c>
      <c r="D41" s="13" t="n"/>
      <c r="E41" s="10" t="n"/>
      <c r="G41" s="25" t="n"/>
      <c r="K41" s="7" t="n"/>
      <c r="L41" s="41" t="inlineStr">
        <is>
          <t>R1-7　２位</t>
        </is>
      </c>
      <c r="M41" s="13" t="n"/>
      <c r="N41" s="10" t="n"/>
      <c r="P41" s="45" t="n"/>
      <c r="AI41" s="21" t="n"/>
      <c r="AJ41" s="21" t="n"/>
      <c r="AK41" s="46" t="n"/>
      <c r="AL41" s="7" t="n"/>
      <c r="AM41" s="44" t="inlineStr">
        <is>
          <t>R3-3　４位</t>
        </is>
      </c>
      <c r="AN41" s="13" t="n"/>
      <c r="AO41" s="10" t="n"/>
      <c r="AW41" s="6" t="n"/>
      <c r="AX41" s="64" t="n"/>
    </row>
    <row r="42" ht="20.25" customHeight="1" s="63" thickBot="1" thickTop="1">
      <c r="A42" s="5" t="n"/>
      <c r="B42" s="7" t="n"/>
      <c r="C42" s="41" t="inlineStr">
        <is>
          <t>予選12位</t>
        </is>
      </c>
      <c r="D42" s="42" t="inlineStr">
        <is>
          <t>３・４位</t>
        </is>
      </c>
      <c r="G42" s="25" t="n"/>
      <c r="I42" s="19" t="n"/>
      <c r="J42" s="10" t="n"/>
      <c r="K42" s="7" t="n"/>
      <c r="L42" s="41" t="inlineStr">
        <is>
          <t>R1-8　１位</t>
        </is>
      </c>
      <c r="M42" s="42" t="inlineStr">
        <is>
          <t>３・４位</t>
        </is>
      </c>
      <c r="P42" s="25" t="n"/>
      <c r="AK42" s="35" t="n"/>
      <c r="AL42" s="7" t="n"/>
      <c r="AM42" s="44" t="inlineStr">
        <is>
          <t>R4-3　１位</t>
        </is>
      </c>
      <c r="AW42" s="6" t="n"/>
      <c r="AX42" s="64" t="n"/>
    </row>
    <row r="43" ht="19.5" customHeight="1" s="63" thickBot="1" thickTop="1">
      <c r="A43" s="5" t="n"/>
      <c r="B43" s="7" t="n"/>
      <c r="C43" s="41" t="inlineStr">
        <is>
          <t>予選13位</t>
        </is>
      </c>
      <c r="D43" s="34" t="n"/>
      <c r="E43" s="21" t="n"/>
      <c r="F43" s="21" t="n"/>
      <c r="G43" s="23" t="n"/>
      <c r="I43" s="33" t="n"/>
      <c r="K43" s="7" t="n"/>
      <c r="L43" s="41" t="inlineStr">
        <is>
          <t>R1-8　２位</t>
        </is>
      </c>
      <c r="M43" s="34" t="n"/>
      <c r="N43" s="21" t="n"/>
      <c r="O43" s="21" t="n"/>
      <c r="P43" s="23" t="n"/>
      <c r="T43" s="42" t="n"/>
      <c r="AH43" s="20" t="n"/>
      <c r="AI43" s="10" t="n"/>
      <c r="AJ43" s="10" t="n"/>
      <c r="AK43" s="15" t="n"/>
      <c r="AL43" s="7" t="n"/>
      <c r="AM43" s="44" t="inlineStr">
        <is>
          <t>R4-3　２位</t>
        </is>
      </c>
      <c r="AW43" s="6" t="n"/>
      <c r="AX43" s="64" t="n"/>
    </row>
    <row r="44" s="63" thickTop="1">
      <c r="A44" s="5" t="n"/>
      <c r="G44" s="25" t="n"/>
      <c r="I44" s="33" t="n"/>
      <c r="P44" s="25" t="n"/>
      <c r="AH44" s="20" t="n"/>
      <c r="AW44" s="6" t="n"/>
      <c r="AX44" s="64" t="n"/>
    </row>
    <row r="45" s="63">
      <c r="A45" s="5" t="n"/>
      <c r="B45" s="1" t="n"/>
      <c r="C45" s="1" t="inlineStr">
        <is>
          <t>Race1-7</t>
        </is>
      </c>
      <c r="G45" s="25" t="n"/>
      <c r="I45" s="33" t="n"/>
      <c r="K45" s="40" t="n"/>
      <c r="L45" s="1" t="inlineStr">
        <is>
          <t>Race2-7</t>
        </is>
      </c>
      <c r="P45" s="25" t="n"/>
      <c r="T45" s="40" t="n"/>
      <c r="U45" s="1" t="inlineStr">
        <is>
          <t>Race3-4</t>
        </is>
      </c>
      <c r="AC45" s="40" t="n"/>
      <c r="AD45" s="1" t="inlineStr">
        <is>
          <t>Race4-3</t>
        </is>
      </c>
      <c r="AH45" s="20" t="n"/>
      <c r="AL45" s="1" t="n"/>
      <c r="AU45" s="1" t="n"/>
      <c r="AW45" s="6" t="n"/>
      <c r="AX45" s="64" t="n"/>
    </row>
    <row r="46" ht="19.5" customHeight="1" s="63">
      <c r="A46" s="5" t="n"/>
      <c r="B46" s="7" t="n"/>
      <c r="C46" s="41" t="inlineStr">
        <is>
          <t>予選3位</t>
        </is>
      </c>
      <c r="D46" s="1" t="inlineStr">
        <is>
          <t>１・２位</t>
        </is>
      </c>
      <c r="E46" s="12" t="n"/>
      <c r="G46" s="25" t="n"/>
      <c r="I46" s="33" t="n"/>
      <c r="K46" s="7" t="n"/>
      <c r="L46" s="47" t="inlineStr">
        <is>
          <t>R1-5　４位</t>
        </is>
      </c>
      <c r="M46" s="42" t="inlineStr">
        <is>
          <t>１・２位</t>
        </is>
      </c>
      <c r="P46" s="25" t="n"/>
      <c r="T46" s="7" t="n"/>
      <c r="U46" s="47" t="inlineStr">
        <is>
          <t>R2-5　４位</t>
        </is>
      </c>
      <c r="V46" s="1" t="inlineStr">
        <is>
          <t>１・２位</t>
        </is>
      </c>
      <c r="AC46" s="7" t="n"/>
      <c r="AD46" s="47" t="inlineStr">
        <is>
          <t>R3-4　１位</t>
        </is>
      </c>
      <c r="AE46" s="31" t="inlineStr">
        <is>
          <t>１・２位</t>
        </is>
      </c>
      <c r="AF46" s="12" t="n"/>
      <c r="AG46" s="12" t="n"/>
      <c r="AH46" s="26" t="n"/>
      <c r="AW46" s="6" t="n"/>
      <c r="AX46" s="64" t="n"/>
    </row>
    <row r="47" ht="20.25" customHeight="1" s="63">
      <c r="A47" s="5" t="n"/>
      <c r="B47" s="7" t="n"/>
      <c r="C47" s="41" t="inlineStr">
        <is>
          <t>予選6位</t>
        </is>
      </c>
      <c r="D47" s="13" t="n"/>
      <c r="E47" s="10" t="n"/>
      <c r="F47" s="10" t="n"/>
      <c r="G47" s="45" t="n"/>
      <c r="H47" s="14" t="n"/>
      <c r="K47" s="7" t="n"/>
      <c r="L47" s="47" t="inlineStr">
        <is>
          <t>R1-6　３位</t>
        </is>
      </c>
      <c r="M47" s="34" t="n"/>
      <c r="N47" s="21" t="n"/>
      <c r="O47" s="21" t="n"/>
      <c r="P47" s="23" t="n"/>
      <c r="T47" s="7" t="n"/>
      <c r="U47" s="47" t="inlineStr">
        <is>
          <t>R2-6　３位</t>
        </is>
      </c>
      <c r="V47" s="10" t="n"/>
      <c r="W47" s="10" t="n"/>
      <c r="X47" s="10" t="n"/>
      <c r="Y47" s="10" t="n"/>
      <c r="Z47" s="10" t="n"/>
      <c r="AA47" s="10" t="n"/>
      <c r="AB47" s="10" t="n"/>
      <c r="AC47" s="7" t="n"/>
      <c r="AD47" s="47" t="inlineStr">
        <is>
          <t>R3-4　２位</t>
        </is>
      </c>
      <c r="AW47" s="6" t="n"/>
      <c r="AX47" s="64" t="n"/>
    </row>
    <row r="48" ht="20.25" customHeight="1" s="63">
      <c r="A48" s="5" t="n"/>
      <c r="B48" s="7" t="n"/>
      <c r="C48" s="41" t="inlineStr">
        <is>
          <t>予選10位</t>
        </is>
      </c>
      <c r="D48" s="42" t="inlineStr">
        <is>
          <t>３・４位</t>
        </is>
      </c>
      <c r="E48" s="18" t="n"/>
      <c r="F48" s="18" t="n"/>
      <c r="G48" s="48" t="n"/>
      <c r="H48" s="22" t="n"/>
      <c r="I48" s="21" t="n"/>
      <c r="J48" s="46" t="n"/>
      <c r="K48" s="7" t="n"/>
      <c r="L48" s="47" t="inlineStr">
        <is>
          <t>R1-7　３位</t>
        </is>
      </c>
      <c r="M48" s="16" t="n"/>
      <c r="P48" s="25" t="n"/>
      <c r="Q48" s="21" t="n"/>
      <c r="R48" s="21" t="n"/>
      <c r="S48" s="46" t="n"/>
      <c r="T48" s="7" t="n"/>
      <c r="U48" s="47" t="inlineStr">
        <is>
          <t>R2-7　２位</t>
        </is>
      </c>
      <c r="Z48" s="12" t="n"/>
      <c r="AA48" s="12" t="n"/>
      <c r="AB48" s="36" t="n"/>
      <c r="AC48" s="7" t="n"/>
      <c r="AD48" s="47" t="inlineStr">
        <is>
          <t>R3-5　１位</t>
        </is>
      </c>
      <c r="AW48" s="6" t="n"/>
      <c r="AX48" s="64" t="n"/>
    </row>
    <row r="49" ht="19.5" customHeight="1" s="63">
      <c r="A49" s="5" t="n"/>
      <c r="B49" s="7" t="n"/>
      <c r="C49" s="41" t="inlineStr">
        <is>
          <t>予選14位</t>
        </is>
      </c>
      <c r="D49" s="34" t="n"/>
      <c r="G49" s="25" t="n"/>
      <c r="H49" s="20" t="n"/>
      <c r="K49" s="7" t="n"/>
      <c r="L49" s="47" t="inlineStr">
        <is>
          <t>R1-8　４位</t>
        </is>
      </c>
      <c r="M49" s="16" t="n"/>
      <c r="P49" s="25" t="n"/>
      <c r="T49" s="7" t="n"/>
      <c r="U49" s="47" t="inlineStr">
        <is>
          <t>R2-8　１位</t>
        </is>
      </c>
      <c r="Y49" s="20" t="n"/>
      <c r="AC49" s="7" t="n"/>
      <c r="AD49" s="47" t="inlineStr">
        <is>
          <t>R3-5　２位</t>
        </is>
      </c>
      <c r="AW49" s="6" t="n"/>
      <c r="AX49" s="64" t="n"/>
    </row>
    <row r="50" s="63">
      <c r="A50" s="5" t="n"/>
      <c r="G50" s="25" t="n"/>
      <c r="H50" s="20" t="n"/>
      <c r="P50" s="25" t="n"/>
      <c r="Y50" s="20" t="n"/>
      <c r="AW50" s="6" t="n"/>
      <c r="AX50" s="64" t="n"/>
    </row>
    <row r="51" s="63">
      <c r="A51" s="5" t="n"/>
      <c r="B51" s="1" t="n"/>
      <c r="C51" s="1" t="inlineStr">
        <is>
          <t>Race1-8</t>
        </is>
      </c>
      <c r="G51" s="25" t="n"/>
      <c r="H51" s="20" t="n"/>
      <c r="K51" s="1" t="n"/>
      <c r="L51" s="1" t="inlineStr">
        <is>
          <t>Race2-8</t>
        </is>
      </c>
      <c r="P51" s="25" t="n"/>
      <c r="T51" s="40" t="n"/>
      <c r="U51" s="1" t="inlineStr">
        <is>
          <t>Race3-5</t>
        </is>
      </c>
      <c r="Y51" s="20" t="n"/>
      <c r="AC51" s="1" t="n"/>
      <c r="AL51" s="1" t="n"/>
      <c r="AU51" s="1" t="n"/>
      <c r="AW51" s="6" t="n"/>
      <c r="AX51" s="64" t="n"/>
    </row>
    <row r="52" ht="19.5" customHeight="1" s="63">
      <c r="A52" s="5" t="n"/>
      <c r="B52" s="7" t="n"/>
      <c r="C52" s="41" t="inlineStr">
        <is>
          <t>予選2位</t>
        </is>
      </c>
      <c r="D52" s="1" t="inlineStr">
        <is>
          <t>１・２位</t>
        </is>
      </c>
      <c r="G52" s="25" t="n"/>
      <c r="H52" s="26" t="n"/>
      <c r="K52" s="7" t="n"/>
      <c r="L52" s="47" t="inlineStr">
        <is>
          <t>R1-5　３位</t>
        </is>
      </c>
      <c r="M52" s="42" t="inlineStr">
        <is>
          <t>１・２位</t>
        </is>
      </c>
      <c r="O52" s="18" t="n"/>
      <c r="P52" s="25" t="n"/>
      <c r="T52" s="7" t="n"/>
      <c r="U52" s="47" t="inlineStr">
        <is>
          <t>R2-5　３位</t>
        </is>
      </c>
      <c r="V52" s="1" t="inlineStr">
        <is>
          <t>１・２位</t>
        </is>
      </c>
      <c r="W52" s="61" t="n"/>
      <c r="X52" s="61" t="n"/>
      <c r="Y52" s="20" t="n"/>
      <c r="AW52" s="6" t="n"/>
      <c r="AX52" s="64" t="n"/>
    </row>
    <row r="53" ht="20.25" customHeight="1" s="63">
      <c r="A53" s="5" t="n"/>
      <c r="B53" s="7" t="n"/>
      <c r="C53" s="41" t="inlineStr">
        <is>
          <t>予選7位</t>
        </is>
      </c>
      <c r="D53" s="13" t="n"/>
      <c r="E53" s="10" t="n"/>
      <c r="F53" s="10" t="n"/>
      <c r="G53" s="45" t="n"/>
      <c r="H53" s="10" t="n"/>
      <c r="K53" s="7" t="n"/>
      <c r="L53" s="47" t="inlineStr">
        <is>
          <t>R1-6　４位</t>
        </is>
      </c>
      <c r="M53" s="34" t="n"/>
      <c r="N53" s="21" t="n"/>
      <c r="O53" s="21" t="n"/>
      <c r="P53" s="23" t="n"/>
      <c r="Q53" s="18" t="n"/>
      <c r="R53" s="18" t="n"/>
      <c r="S53" s="29" t="n"/>
      <c r="T53" s="7" t="n"/>
      <c r="U53" s="47" t="inlineStr">
        <is>
          <t>R2-6　４位</t>
        </is>
      </c>
      <c r="V53" s="62" t="n"/>
      <c r="W53" s="10" t="n"/>
      <c r="X53" s="10" t="n"/>
      <c r="Y53" s="10" t="n"/>
      <c r="AW53" s="6" t="n"/>
      <c r="AX53" s="64" t="n"/>
    </row>
    <row r="54" ht="20.25" customHeight="1" s="63">
      <c r="A54" s="5" t="n"/>
      <c r="B54" s="7" t="n"/>
      <c r="C54" s="41" t="inlineStr">
        <is>
          <t>予選11位</t>
        </is>
      </c>
      <c r="D54" s="17" t="inlineStr">
        <is>
          <t>３・４位</t>
        </is>
      </c>
      <c r="E54" s="18" t="n"/>
      <c r="F54" s="18" t="n"/>
      <c r="G54" s="48" t="n"/>
      <c r="H54" s="21" t="n"/>
      <c r="I54" s="21" t="n"/>
      <c r="J54" s="46" t="n"/>
      <c r="K54" s="7" t="n"/>
      <c r="L54" s="47" t="inlineStr">
        <is>
          <t>R1-7　４位</t>
        </is>
      </c>
      <c r="T54" s="7" t="n"/>
      <c r="U54" s="47" t="inlineStr">
        <is>
          <t>R2-7　１位</t>
        </is>
      </c>
      <c r="V54" s="16" t="n"/>
      <c r="AW54" s="6" t="n"/>
      <c r="AX54" s="64" t="n"/>
    </row>
    <row r="55" ht="19.5" customHeight="1" s="63">
      <c r="A55" s="5" t="n"/>
      <c r="B55" s="7" t="n"/>
      <c r="C55" s="41" t="inlineStr">
        <is>
          <t>予選15位</t>
        </is>
      </c>
      <c r="K55" s="7" t="n"/>
      <c r="L55" s="47" t="inlineStr">
        <is>
          <t>R1-8　３位</t>
        </is>
      </c>
      <c r="T55" s="7" t="n"/>
      <c r="U55" s="47" t="inlineStr">
        <is>
          <t>R2-8　２位</t>
        </is>
      </c>
      <c r="AW55" s="6" t="n"/>
      <c r="AX55" s="64" t="n"/>
    </row>
    <row r="56">
      <c r="A56" s="37" t="n"/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  <c r="AC56" s="38" t="n"/>
      <c r="AD56" s="38" t="n"/>
      <c r="AE56" s="38" t="n"/>
      <c r="AF56" s="38" t="n"/>
      <c r="AG56" s="38" t="n"/>
      <c r="AH56" s="38" t="n"/>
      <c r="AI56" s="38" t="n"/>
      <c r="AJ56" s="38" t="n"/>
      <c r="AK56" s="38" t="n"/>
      <c r="AL56" s="38" t="n"/>
      <c r="AM56" s="38" t="n"/>
      <c r="AN56" s="38" t="n"/>
      <c r="AO56" s="38" t="n"/>
      <c r="AP56" s="38" t="n"/>
      <c r="AQ56" s="38" t="n"/>
      <c r="AR56" s="38" t="n"/>
      <c r="AS56" s="38" t="n"/>
      <c r="AT56" s="38" t="n"/>
      <c r="AU56" s="38" t="n"/>
      <c r="AV56" s="38" t="n"/>
      <c r="AW56" s="39" t="n"/>
      <c r="AX56" s="64" t="n"/>
    </row>
  </sheetData>
  <mergeCells count="3">
    <mergeCell ref="AX32:AY56"/>
    <mergeCell ref="AX18:AY30"/>
    <mergeCell ref="AX4:AY16"/>
  </mergeCells>
  <pageMargins left="0.7086614173228347" right="0.7086614173228347" top="0.7480314960629921" bottom="0.7480314960629921" header="0.3149606299212598" footer="0.3149606299212598"/>
  <pageSetup orientation="landscape" paperSize="9" fitToHeight="1" fitToWidth="1"/>
  <headerFooter>
    <oddHeader>&amp;C&amp;24大会 2026 決勝ヒート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zubon2003</dc:creator>
  <dcterms:created xsi:type="dcterms:W3CDTF">2026-08-14T14:10:51Z</dcterms:created>
  <dcterms:modified xsi:type="dcterms:W3CDTF">2026-08-15T10:39:46Z</dcterms:modified>
  <cp:lastModifiedBy>zubon2003</cp:lastModifiedBy>
  <cp:lastPrinted>2026-08-14T15:38:15Z</cp:lastPrinted>
</cp:coreProperties>
</file>