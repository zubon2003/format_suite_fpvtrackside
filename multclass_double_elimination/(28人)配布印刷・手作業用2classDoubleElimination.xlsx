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0" yWindow="2460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36"/>
      <scheme val="minor"/>
    </font>
    <font>
      <name val="游ゴシック"/>
      <charset val="128"/>
      <family val="3"/>
      <color theme="1"/>
      <sz val="3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2CC"/>
        <bgColor rgb="FFFFF2CC"/>
      </patternFill>
    </fill>
  </fills>
  <borders count="3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15" pivotButton="0" quotePrefix="0" xfId="0"/>
    <xf numFmtId="0" fontId="7" fillId="0" borderId="38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9" borderId="38" pivotButton="0" quotePrefix="0" xfId="0"/>
    <xf numFmtId="0" fontId="0" fillId="0" borderId="38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22" customWidth="1" style="58" min="2" max="2"/>
    <col width="10" customWidth="1" style="58" min="3" max="3"/>
  </cols>
  <sheetData>
    <row r="1">
      <c r="A1" s="63" t="inlineStr">
        <is>
          <t>Pos.</t>
        </is>
      </c>
      <c r="B1" s="63" t="inlineStr">
        <is>
          <t>Pilot</t>
        </is>
      </c>
      <c r="C1" s="63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4" t="n">
        <v>1</v>
      </c>
      <c r="B2" s="65" t="n"/>
      <c r="C2" s="66" t="n"/>
      <c r="E2" t="inlineStr">
        <is>
          <t>各レースの左側の細い枠に着順(1〜4)を入力すると、次のレースの出走者が自動で埋まります。</t>
        </is>
      </c>
    </row>
    <row r="3">
      <c r="A3" s="64" t="n">
        <v>2</v>
      </c>
      <c r="B3" s="65" t="n"/>
      <c r="C3" s="66" t="n"/>
    </row>
    <row r="4">
      <c r="A4" s="64" t="n">
        <v>3</v>
      </c>
      <c r="B4" s="65" t="n"/>
      <c r="C4" s="66" t="n"/>
    </row>
    <row r="5">
      <c r="A5" s="64" t="n">
        <v>4</v>
      </c>
      <c r="B5" s="65" t="n"/>
      <c r="C5" s="66" t="n"/>
    </row>
    <row r="6">
      <c r="A6" s="64" t="n">
        <v>5</v>
      </c>
      <c r="B6" s="65" t="n"/>
      <c r="C6" s="66" t="n"/>
    </row>
    <row r="7">
      <c r="A7" s="64" t="n">
        <v>6</v>
      </c>
      <c r="B7" s="65" t="n"/>
      <c r="C7" s="66" t="n"/>
    </row>
    <row r="8">
      <c r="A8" s="64" t="n">
        <v>7</v>
      </c>
      <c r="B8" s="65" t="n"/>
      <c r="C8" s="66" t="n"/>
    </row>
    <row r="9">
      <c r="A9" s="64" t="n">
        <v>8</v>
      </c>
      <c r="B9" s="65" t="n"/>
      <c r="C9" s="66" t="n"/>
    </row>
    <row r="10">
      <c r="A10" s="64" t="n">
        <v>9</v>
      </c>
      <c r="B10" s="65" t="n"/>
      <c r="C10" s="66" t="n"/>
    </row>
    <row r="11">
      <c r="A11" s="64" t="n">
        <v>10</v>
      </c>
      <c r="B11" s="65" t="n"/>
      <c r="C11" s="66" t="n"/>
    </row>
    <row r="12">
      <c r="A12" s="64" t="n">
        <v>11</v>
      </c>
      <c r="B12" s="65" t="n"/>
      <c r="C12" s="66" t="n"/>
    </row>
    <row r="13">
      <c r="A13" s="64" t="n">
        <v>12</v>
      </c>
      <c r="B13" s="65" t="n"/>
      <c r="C13" s="66" t="n"/>
    </row>
    <row r="14">
      <c r="A14" s="64" t="n">
        <v>13</v>
      </c>
      <c r="B14" s="65" t="n"/>
      <c r="C14" s="66" t="n"/>
    </row>
    <row r="15">
      <c r="A15" s="64" t="n">
        <v>14</v>
      </c>
      <c r="B15" s="65" t="n"/>
      <c r="C15" s="66" t="n"/>
    </row>
    <row r="16">
      <c r="A16" s="64" t="n">
        <v>15</v>
      </c>
      <c r="B16" s="65" t="n"/>
      <c r="C16" s="66" t="n"/>
    </row>
    <row r="17">
      <c r="A17" s="64" t="n">
        <v>16</v>
      </c>
      <c r="B17" s="65" t="n"/>
      <c r="C17" s="66" t="n"/>
    </row>
    <row r="18">
      <c r="A18" s="64" t="n">
        <v>17</v>
      </c>
      <c r="B18" s="65" t="n"/>
      <c r="C18" s="66" t="n"/>
    </row>
    <row r="19">
      <c r="A19" s="64" t="n">
        <v>18</v>
      </c>
      <c r="B19" s="65" t="n"/>
      <c r="C19" s="66" t="n"/>
    </row>
    <row r="20">
      <c r="A20" s="64" t="n">
        <v>19</v>
      </c>
      <c r="B20" s="65" t="n"/>
      <c r="C20" s="66" t="n"/>
    </row>
    <row r="21">
      <c r="A21" s="64" t="n">
        <v>20</v>
      </c>
      <c r="B21" s="65" t="n"/>
      <c r="C21" s="66" t="n"/>
    </row>
    <row r="22">
      <c r="A22" s="64" t="n">
        <v>21</v>
      </c>
      <c r="B22" s="65" t="n"/>
      <c r="C22" s="66" t="n"/>
    </row>
    <row r="23">
      <c r="A23" s="64" t="n">
        <v>22</v>
      </c>
      <c r="B23" s="65" t="n"/>
      <c r="C23" s="66" t="n"/>
    </row>
    <row r="24">
      <c r="A24" s="64" t="n">
        <v>23</v>
      </c>
      <c r="B24" s="65" t="n"/>
      <c r="C24" s="66" t="n"/>
    </row>
    <row r="25">
      <c r="A25" s="64" t="n">
        <v>24</v>
      </c>
      <c r="B25" s="65" t="n"/>
      <c r="C25" s="66" t="n"/>
    </row>
    <row r="26">
      <c r="A26" s="64" t="n">
        <v>25</v>
      </c>
      <c r="B26" s="65" t="n"/>
      <c r="C26" s="66" t="n"/>
    </row>
    <row r="27">
      <c r="A27" s="64" t="n">
        <v>26</v>
      </c>
      <c r="B27" s="65" t="n"/>
      <c r="C27" s="66" t="n"/>
    </row>
    <row r="28">
      <c r="A28" s="64" t="n">
        <v>27</v>
      </c>
      <c r="B28" s="65" t="n"/>
      <c r="C28" s="66" t="n"/>
    </row>
    <row r="29">
      <c r="A29" s="64" t="n">
        <v>28</v>
      </c>
      <c r="B29" s="65" t="n"/>
      <c r="C29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workbookViewId="0">
      <selection activeCell="A1" sqref="A1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12名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>
        <f>IF(予選順位入力!$B$18="","",予選順位入力!$B$18)</f>
        <v/>
      </c>
      <c r="D5" s="1" t="inlineStr">
        <is>
          <t>１・２位</t>
        </is>
      </c>
      <c r="K5" s="7" t="n"/>
      <c r="L5" s="8">
        <f>IFERROR(INDEX($C$5:$C$8,MATCH(1,$B$5:$B$8,0)),"")</f>
        <v/>
      </c>
      <c r="M5" s="1" t="inlineStr">
        <is>
          <t>１・２位</t>
        </is>
      </c>
      <c r="T5" s="7" t="n"/>
      <c r="U5" s="8">
        <f>IFERROR(INDEX($L$5:$L$7,MATCH(1,$K$5:$K$7,0)),"")</f>
        <v/>
      </c>
      <c r="V5" s="1" t="inlineStr">
        <is>
          <t>１・２位</t>
        </is>
      </c>
      <c r="AL5" s="7" t="n"/>
      <c r="AM5" s="8">
        <f>IFERROR(INDEX($U$5:$U$8,MATCH(1,$T$5:$T$8,0)),"")</f>
        <v/>
      </c>
      <c r="AW5" s="6" t="n"/>
      <c r="AX5" s="59" t="n"/>
    </row>
    <row r="6" ht="20.25" customHeight="1" s="58" thickBot="1" thickTop="1">
      <c r="A6" s="5" t="n"/>
      <c r="B6" s="7" t="n"/>
      <c r="C6" s="8">
        <f>IF(予選順位入力!$B$23="","",予選順位入力!$B$23)</f>
        <v/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>
        <f>IFERROR(INDEX($C$11:$C$14,MATCH(2,$B$11:$B$14,0)),"")</f>
        <v/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>
        <f>IFERROR(INDEX($L$5:$L$7,MATCH(2,$K$5:$K$7,0)),"")</f>
        <v/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>
        <f>IFERROR(INDEX($U$5:$U$8,MATCH(2,$T$5:$T$8,0)),"")</f>
        <v/>
      </c>
      <c r="AN6" s="16" t="n"/>
      <c r="AW6" s="6" t="n"/>
      <c r="AX6" s="59" t="n"/>
    </row>
    <row r="7" ht="20.25" customHeight="1" s="58" thickBot="1" thickTop="1">
      <c r="A7" s="5" t="n"/>
      <c r="B7" s="7" t="n"/>
      <c r="C7" s="8">
        <f>IF(予選順位入力!$B$26="","",予選順位入力!$B$26)</f>
        <v/>
      </c>
      <c r="D7" s="17" t="inlineStr">
        <is>
          <t>３・４位</t>
        </is>
      </c>
      <c r="E7" s="18" t="n"/>
      <c r="F7" s="18" t="n"/>
      <c r="I7" s="19" t="n"/>
      <c r="J7" s="10" t="n"/>
      <c r="K7" s="7" t="n"/>
      <c r="L7" s="8">
        <f>IFERROR(INDEX($C$17:$C$20,MATCH(2,$B$17:$B$20,0)),"")</f>
        <v/>
      </c>
      <c r="M7" s="17" t="inlineStr">
        <is>
          <t>３位</t>
        </is>
      </c>
      <c r="P7" s="20" t="n"/>
      <c r="T7" s="7" t="n"/>
      <c r="U7" s="8">
        <f>IFERROR(INDEX($L$11:$L$13,MATCH(1,$K$11:$K$13,0)),"")</f>
        <v/>
      </c>
      <c r="V7" s="17" t="inlineStr">
        <is>
          <t>３・４位</t>
        </is>
      </c>
      <c r="W7" s="18" t="n"/>
      <c r="X7" s="18" t="n"/>
      <c r="Y7" s="18" t="n"/>
      <c r="AL7" s="7" t="n"/>
      <c r="AM7" s="8">
        <f>IFERROR(INDEX($AD$11:$AD$14,MATCH(1,$AC$11:$AC$14,0)),"")</f>
        <v/>
      </c>
      <c r="AW7" s="6" t="n"/>
      <c r="AX7" s="59" t="n"/>
    </row>
    <row r="8" ht="19.5" customHeight="1" s="58" thickTop="1">
      <c r="A8" s="5" t="n"/>
      <c r="B8" s="7" t="n"/>
      <c r="C8" s="8">
        <f>IF(予選順位入力!$B$27="","",予選順位入力!$B$27)</f>
        <v/>
      </c>
      <c r="G8" s="23" t="n"/>
      <c r="I8" s="33" t="n"/>
      <c r="J8" s="35" t="n"/>
      <c r="K8" s="7" t="n"/>
      <c r="L8" s="8" t="n"/>
      <c r="M8" s="21" t="n"/>
      <c r="N8" s="21" t="n"/>
      <c r="O8" s="21" t="n"/>
      <c r="P8" s="22" t="n"/>
      <c r="Q8" s="23" t="n"/>
      <c r="T8" s="7" t="n"/>
      <c r="U8" s="8">
        <f>IFERROR(INDEX($L$11:$L$13,MATCH(2,$K$11:$K$13,0)),"")</f>
        <v/>
      </c>
      <c r="Z8" s="24" t="n"/>
      <c r="AI8" s="20" t="n"/>
      <c r="AJ8" s="19" t="n"/>
      <c r="AK8" s="15" t="n"/>
      <c r="AL8" s="7" t="n"/>
      <c r="AM8" s="8">
        <f>IFERROR(INDEX($AD$11:$AD$14,MATCH(2,$AC$11:$AC$14,0)),"")</f>
        <v/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>
        <f>IF(予選順位入力!$B$19="","",予選順位入力!$B$19)</f>
        <v/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>
        <f>IFERROR(INDEX($C$5:$C$8,MATCH(2,$B$5:$B$8,0)),"")</f>
        <v/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>
        <f>IFERROR(INDEX($U$5:$U$8,MATCH(3,$T$5:$T$8,0)),"")</f>
        <v/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>
        <f>IF(予選順位入力!$B$22="","",予選順位入力!$B$22)</f>
        <v/>
      </c>
      <c r="D12" s="13" t="n"/>
      <c r="E12" s="10" t="n"/>
      <c r="F12" s="10" t="n"/>
      <c r="G12" s="25" t="n"/>
      <c r="I12" s="19" t="n"/>
      <c r="J12" s="10" t="n"/>
      <c r="K12" s="7" t="n"/>
      <c r="L12" s="8">
        <f>IFERROR(INDEX($C$11:$C$14,MATCH(1,$B$11:$B$14,0)),"")</f>
        <v/>
      </c>
      <c r="M12" s="13" t="n"/>
      <c r="N12" s="10" t="n"/>
      <c r="O12" s="10" t="n"/>
      <c r="P12" s="10" t="n"/>
      <c r="R12" s="24" t="n"/>
      <c r="AC12" s="7" t="n"/>
      <c r="AD12" s="30">
        <f>IFERROR(INDEX($U$5:$U$8,MATCH(4,$T$5:$T$8,0)),"")</f>
        <v/>
      </c>
      <c r="AW12" s="6" t="n"/>
      <c r="AX12" s="59" t="n"/>
    </row>
    <row r="13" ht="19.5" customHeight="1" s="58" thickBot="1">
      <c r="A13" s="5" t="n"/>
      <c r="B13" s="7" t="n"/>
      <c r="C13" s="8">
        <f>IF(予選順位入力!$B$25="","",予選順位入力!$B$25)</f>
        <v/>
      </c>
      <c r="D13" s="17" t="inlineStr">
        <is>
          <t>３・４位</t>
        </is>
      </c>
      <c r="E13" s="18" t="n"/>
      <c r="F13" s="18" t="n"/>
      <c r="G13" s="48" t="n"/>
      <c r="I13" s="33" t="n"/>
      <c r="K13" s="7" t="n"/>
      <c r="L13" s="8">
        <f>IFERROR(INDEX($C$17:$C$20,MATCH(1,$B$17:$B$20,0)),"")</f>
        <v/>
      </c>
      <c r="M13" s="32" t="inlineStr">
        <is>
          <t>３位</t>
        </is>
      </c>
      <c r="Q13" s="18" t="n"/>
      <c r="R13" s="24" t="n"/>
      <c r="AC13" s="7" t="n"/>
      <c r="AD13" s="30">
        <f>IFERROR(INDEX($U$17:$U$20,MATCH(1,$T$17:$T$20,0)),"")</f>
        <v/>
      </c>
      <c r="AW13" s="6" t="n"/>
      <c r="AX13" s="59" t="n"/>
    </row>
    <row r="14" ht="19.5" customHeight="1" s="58" thickTop="1">
      <c r="A14" s="5" t="n"/>
      <c r="B14" s="7" t="n"/>
      <c r="C14" s="8">
        <f>IF(予選順位入力!$B$28="","",予選順位入力!$B$28)</f>
        <v/>
      </c>
      <c r="G14" s="25" t="n"/>
      <c r="I14" s="33" t="n"/>
      <c r="J14" s="35" t="n"/>
      <c r="K14" s="7" t="n"/>
      <c r="L14" s="8" t="n"/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>
        <f>IFERROR(INDEX($U$17:$U$20,MATCH(2,$T$17:$T$20,0)),"")</f>
        <v/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>
        <f>IF(予選順位入力!$B$20="","",予選順位入力!$B$20)</f>
        <v/>
      </c>
      <c r="D17" s="1" t="inlineStr">
        <is>
          <t>１・２位</t>
        </is>
      </c>
      <c r="G17" s="25" t="n"/>
      <c r="I17" s="33" t="n"/>
      <c r="K17" s="7" t="n"/>
      <c r="L17" s="30">
        <f>IFERROR(INDEX($C$5:$C$8,MATCH(3,$B$5:$B$8,0)),"")</f>
        <v/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>
        <f>IFERROR(INDEX($L$5:$L$7,MATCH(3,$K$5:$K$7,0)),"")</f>
        <v/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>
        <f>IF(予選順位入力!$B$21="","",予選順位入力!$B$21)</f>
        <v/>
      </c>
      <c r="D18" s="13" t="n"/>
      <c r="E18" s="10" t="n"/>
      <c r="F18" s="10" t="n"/>
      <c r="G18" s="45" t="n"/>
      <c r="H18" s="10" t="n"/>
      <c r="K18" s="7" t="n"/>
      <c r="L18" s="30">
        <f>IFERROR(INDEX($C$11:$C$14,MATCH(4,$B$11:$B$14,0)),"")</f>
        <v/>
      </c>
      <c r="Q18" s="33" t="n"/>
      <c r="S18" s="35" t="n"/>
      <c r="T18" s="7" t="n"/>
      <c r="U18" s="30">
        <f>IFERROR(INDEX($L$11:$L$13,MATCH(3,$K$11:$K$13,0)),"")</f>
        <v/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>
        <f>IF(予選順位入力!$B$24="","",予選順位入力!$B$24)</f>
        <v/>
      </c>
      <c r="D19" s="17" t="inlineStr">
        <is>
          <t>３・４位</t>
        </is>
      </c>
      <c r="E19" s="18" t="n"/>
      <c r="F19" s="18" t="n"/>
      <c r="G19" s="48" t="n"/>
      <c r="H19" s="18" t="n"/>
      <c r="I19" s="18" t="n"/>
      <c r="J19" s="18" t="n"/>
      <c r="K19" s="7" t="n"/>
      <c r="L19" s="30">
        <f>IFERROR(INDEX($C$17:$C$20,MATCH(3,$B$17:$B$20,0)),"")</f>
        <v/>
      </c>
      <c r="Q19" s="11" t="n"/>
      <c r="R19" s="12" t="n"/>
      <c r="S19" s="36" t="n"/>
      <c r="T19" s="7" t="n"/>
      <c r="U19" s="30">
        <f>IFERROR(INDEX($L$17:$L$19,MATCH(1,$K$17:$K$19,0)),"")</f>
        <v/>
      </c>
      <c r="AW19" s="6" t="n"/>
      <c r="AX19" s="59" t="n"/>
    </row>
    <row r="20" ht="19.5" customHeight="1" s="58" thickTop="1">
      <c r="A20" s="5" t="n"/>
      <c r="B20" s="7" t="n"/>
      <c r="C20" s="8">
        <f>IF(予選順位入力!$B$29="","",予選順位入力!$B$29)</f>
        <v/>
      </c>
      <c r="G20" s="60" t="n"/>
      <c r="K20" s="7" t="n"/>
      <c r="L20" s="30" t="n"/>
      <c r="Q20" s="61" t="n"/>
      <c r="T20" s="7" t="n"/>
      <c r="U20" s="30">
        <f>IFERROR(INDEX($L$23:$L$25,MATCH(1,$K$23:$K$25,0)),"")</f>
        <v/>
      </c>
      <c r="AW20" s="6" t="n"/>
      <c r="AX20" s="59" t="n"/>
    </row>
    <row r="21" s="58">
      <c r="A21" s="5" t="n"/>
      <c r="G21" s="60" t="n"/>
      <c r="Q21" s="61" t="n"/>
      <c r="AW21" s="6" t="n"/>
      <c r="AX21" s="59" t="n"/>
    </row>
    <row r="22" s="58">
      <c r="A22" s="5" t="n"/>
      <c r="G22" s="60" t="n"/>
      <c r="K22" s="1" t="n"/>
      <c r="L22" s="1" t="inlineStr">
        <is>
          <t>Race2-4</t>
        </is>
      </c>
      <c r="Q22" s="61" t="n"/>
      <c r="AW22" s="6" t="n"/>
      <c r="AX22" s="59" t="n"/>
    </row>
    <row r="23" ht="19.5" customHeight="1" s="58">
      <c r="A23" s="5" t="n"/>
      <c r="G23" s="60" t="n"/>
      <c r="K23" s="7" t="n"/>
      <c r="L23" s="30">
        <f>IFERROR(INDEX($C$5:$C$8,MATCH(4,$B$5:$B$8,0)),"")</f>
        <v/>
      </c>
      <c r="M23" s="31" t="inlineStr">
        <is>
          <t>１位</t>
        </is>
      </c>
      <c r="N23" s="12" t="n"/>
      <c r="O23" s="12" t="n"/>
      <c r="P23" s="12" t="n"/>
      <c r="Q23" s="61" t="n"/>
      <c r="AW23" s="6" t="n"/>
      <c r="AX23" s="59" t="n"/>
    </row>
    <row r="24" ht="19.5" customHeight="1" s="58">
      <c r="A24" s="5" t="n"/>
      <c r="G24" s="60" t="n"/>
      <c r="K24" s="7" t="n"/>
      <c r="L24" s="30">
        <f>IFERROR(INDEX($C$11:$C$14,MATCH(3,$B$11:$B$14,0)),"")</f>
        <v/>
      </c>
      <c r="AW24" s="6" t="n"/>
      <c r="AX24" s="59" t="n"/>
    </row>
    <row r="25" ht="19.5" customHeight="1" s="58" thickBot="1">
      <c r="A25" s="5" t="n"/>
      <c r="G25" s="60" t="n"/>
      <c r="H25" s="62" t="n"/>
      <c r="I25" s="62" t="n"/>
      <c r="J25" s="62" t="n"/>
      <c r="K25" s="7" t="n"/>
      <c r="L25" s="30">
        <f>IFERROR(INDEX($C$17:$C$20,MATCH(4,$B$17:$B$20,0)),"")</f>
        <v/>
      </c>
      <c r="AW25" s="6" t="n"/>
      <c r="AX25" s="59" t="n"/>
    </row>
    <row r="26" ht="19.5" customHeight="1" s="58" thickBot="1" thickTop="1">
      <c r="A26" s="5" t="n"/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16名</t>
        </is>
      </c>
    </row>
    <row r="30" s="58">
      <c r="A30" s="5" t="n"/>
      <c r="B30" s="1" t="n"/>
      <c r="C30" s="1" t="inlineStr">
        <is>
          <t>Race1-4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>
        <f>IF(予選順位入力!$B$2="","",予選順位入力!$B$2)</f>
        <v/>
      </c>
      <c r="D31" s="1" t="inlineStr">
        <is>
          <t>１・２位</t>
        </is>
      </c>
      <c r="K31" s="7" t="n"/>
      <c r="L31" s="41">
        <f>IFERROR(INDEX($C$31:$C$34,MATCH(1,$B$31:$B$34,0)),"")</f>
        <v/>
      </c>
      <c r="M31" s="1" t="inlineStr">
        <is>
          <t>１・２位</t>
        </is>
      </c>
      <c r="T31" s="7" t="n"/>
      <c r="U31" s="41">
        <f>IFERROR(INDEX($L$31:$L$34,MATCH(1,$K$31:$K$34,0)),"")</f>
        <v/>
      </c>
      <c r="V31" s="1" t="inlineStr">
        <is>
          <t>１・２位</t>
        </is>
      </c>
      <c r="AU31" s="7" t="n"/>
      <c r="AV31" s="41">
        <f>IFERROR(INDEX($U$31:$U$34,MATCH(1,$T$31:$T$34,0)),"")</f>
        <v/>
      </c>
      <c r="AW31" s="6" t="n"/>
      <c r="AX31" s="59" t="n"/>
    </row>
    <row r="32" ht="20.25" customHeight="1" s="58" thickBot="1" thickTop="1">
      <c r="A32" s="5" t="n"/>
      <c r="B32" s="7" t="n"/>
      <c r="C32" s="41">
        <f>IF(予選順位入力!$B$9="","",予選順位入力!$B$9)</f>
        <v/>
      </c>
      <c r="D32" s="9" t="n"/>
      <c r="E32" s="10" t="n"/>
      <c r="F32" s="10" t="n"/>
      <c r="G32" s="10" t="n"/>
      <c r="H32" s="14" t="n"/>
      <c r="J32" s="35" t="n"/>
      <c r="K32" s="7" t="n"/>
      <c r="L32" s="41">
        <f>IFERROR(INDEX($C$31:$C$34,MATCH(2,$B$31:$B$34,0)),"")</f>
        <v/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>
        <f>IFERROR(INDEX($L$31:$L$34,MATCH(2,$K$31:$K$34,0)),"")</f>
        <v/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>
        <f>IFERROR(INDEX($U$31:$U$34,MATCH(2,$T$31:$T$34,0)),"")</f>
        <v/>
      </c>
      <c r="AW32" s="6" t="n"/>
      <c r="AX32" s="59" t="n"/>
    </row>
    <row r="33" ht="20.25" customHeight="1" s="58" thickBot="1" thickTop="1">
      <c r="A33" s="5" t="n"/>
      <c r="B33" s="7" t="n"/>
      <c r="C33" s="41">
        <f>IF(予選順位入力!$B$10="","",予選順位入力!$B$10)</f>
        <v/>
      </c>
      <c r="D33" s="42" t="inlineStr">
        <is>
          <t>３・４位</t>
        </is>
      </c>
      <c r="E33" s="18" t="n"/>
      <c r="F33" s="18" t="n"/>
      <c r="G33" s="18" t="n"/>
      <c r="H33" s="20" t="n"/>
      <c r="I33" s="10" t="n"/>
      <c r="J33" s="15" t="n"/>
      <c r="K33" s="7" t="n"/>
      <c r="L33" s="41">
        <f>IFERROR(INDEX($C$37:$C$40,MATCH(1,$B$37:$B$40,0)),"")</f>
        <v/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>
        <f>IFERROR(INDEX($L$37:$L$40,MATCH(1,$K$37:$K$40,0)),"")</f>
        <v/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>
        <f>IFERROR(INDEX($AM$37:$AM$40,MATCH(1,$AL$37:$AL$40,0)),"")</f>
        <v/>
      </c>
      <c r="AW33" s="6" t="n"/>
      <c r="AX33" s="59" t="n"/>
    </row>
    <row r="34" ht="19.5" customHeight="1" s="58" thickTop="1">
      <c r="A34" s="5" t="n"/>
      <c r="B34" s="7" t="n"/>
      <c r="C34" s="41">
        <f>IF(予選順位入力!$B$17="","",予選順位入力!$B$17)</f>
        <v/>
      </c>
      <c r="D34" s="34" t="n"/>
      <c r="G34" s="25" t="n"/>
      <c r="H34" s="20" t="n"/>
      <c r="K34" s="7" t="n"/>
      <c r="L34" s="41">
        <f>IFERROR(INDEX($C$37:$C$40,MATCH(2,$B$37:$B$40,0)),"")</f>
        <v/>
      </c>
      <c r="O34" s="21" t="n"/>
      <c r="P34" s="23" t="n"/>
      <c r="Q34" s="20" t="n"/>
      <c r="T34" s="7" t="n"/>
      <c r="U34" s="41">
        <f>IFERROR(INDEX($L$37:$L$40,MATCH(2,$K$37:$K$40,0)),"")</f>
        <v/>
      </c>
      <c r="AG34" s="21" t="n"/>
      <c r="AH34" s="23" t="n"/>
      <c r="AR34" s="19" t="n"/>
      <c r="AS34" s="10" t="n"/>
      <c r="AT34" s="10" t="n"/>
      <c r="AU34" s="7" t="n"/>
      <c r="AV34" s="41">
        <f>IFERROR(INDEX($AM$37:$AM$40,MATCH(2,$AL$37:$AL$40,0)),"")</f>
        <v/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Race1-5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>
        <f>IF(予選順位入力!$B$5="","",予選順位入力!$B$5)</f>
        <v/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>
        <f>IFERROR(INDEX($C$43:$C$46,MATCH(1,$B$43:$B$46,0)),"")</f>
        <v/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>
        <f>IFERROR(INDEX($U$31:$U$34,MATCH(3,$T$31:$T$34,0)),"")</f>
        <v/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>
        <f>IF(予選順位入力!$B$6="","",予選順位入力!$B$6)</f>
        <v/>
      </c>
      <c r="D38" s="13" t="n"/>
      <c r="E38" s="10" t="n"/>
      <c r="G38" s="25" t="n"/>
      <c r="K38" s="7" t="n"/>
      <c r="L38" s="41">
        <f>IFERROR(INDEX($C$43:$C$46,MATCH(2,$B$43:$B$46,0)),"")</f>
        <v/>
      </c>
      <c r="M38" s="13" t="n"/>
      <c r="N38" s="10" t="n"/>
      <c r="P38" s="45" t="n"/>
      <c r="AI38" s="21" t="n"/>
      <c r="AJ38" s="21" t="n"/>
      <c r="AK38" s="46" t="n"/>
      <c r="AL38" s="7" t="n"/>
      <c r="AM38" s="44">
        <f>IFERROR(INDEX($U$31:$U$34,MATCH(4,$T$31:$T$34,0)),"")</f>
        <v/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>
        <f>IF(予選順位入力!$B$13="","",予選順位入力!$B$13)</f>
        <v/>
      </c>
      <c r="D39" s="42" t="inlineStr">
        <is>
          <t>３・４位</t>
        </is>
      </c>
      <c r="G39" s="25" t="n"/>
      <c r="I39" s="19" t="n"/>
      <c r="J39" s="10" t="n"/>
      <c r="K39" s="7" t="n"/>
      <c r="L39" s="41">
        <f>IFERROR(INDEX($C$49:$C$52,MATCH(1,$B$49:$B$52,0)),"")</f>
        <v/>
      </c>
      <c r="M39" s="42" t="inlineStr">
        <is>
          <t>３・４位</t>
        </is>
      </c>
      <c r="P39" s="25" t="n"/>
      <c r="AK39" s="35" t="n"/>
      <c r="AL39" s="7" t="n"/>
      <c r="AM39" s="44">
        <f>IFERROR(INDEX($AD$43:$AD$46,MATCH(1,$AC$43:$AC$46,0)),"")</f>
        <v/>
      </c>
      <c r="AW39" s="6" t="n"/>
      <c r="AX39" s="59" t="n"/>
    </row>
    <row r="40" ht="19.5" customHeight="1" s="58" thickTop="1">
      <c r="A40" s="5" t="n"/>
      <c r="B40" s="7" t="n"/>
      <c r="C40" s="41">
        <f>IF(予選順位入力!$B$14="","",予選順位入力!$B$14)</f>
        <v/>
      </c>
      <c r="D40" s="34" t="n"/>
      <c r="E40" s="21" t="n"/>
      <c r="F40" s="21" t="n"/>
      <c r="G40" s="23" t="n"/>
      <c r="I40" s="33" t="n"/>
      <c r="K40" s="7" t="n"/>
      <c r="L40" s="41">
        <f>IFERROR(INDEX($C$49:$C$52,MATCH(2,$B$49:$B$52,0)),"")</f>
        <v/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>
        <f>IFERROR(INDEX($AD$43:$AD$46,MATCH(2,$AC$43:$AC$46,0)),"")</f>
        <v/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Race1-6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>
        <f>IF(予選順位入力!$B$4="","",予選順位入力!$B$4)</f>
        <v/>
      </c>
      <c r="D43" s="1" t="inlineStr">
        <is>
          <t>１・２位</t>
        </is>
      </c>
      <c r="E43" s="12" t="n"/>
      <c r="G43" s="25" t="n"/>
      <c r="I43" s="33" t="n"/>
      <c r="K43" s="7" t="n"/>
      <c r="L43" s="47">
        <f>IFERROR(INDEX($C$31:$C$34,MATCH(4,$B$31:$B$34,0)),"")</f>
        <v/>
      </c>
      <c r="M43" s="42" t="inlineStr">
        <is>
          <t>１・２位</t>
        </is>
      </c>
      <c r="P43" s="25" t="n"/>
      <c r="T43" s="7" t="n"/>
      <c r="U43" s="47">
        <f>IFERROR(INDEX($L$31:$L$34,MATCH(4,$K$31:$K$34,0)),"")</f>
        <v/>
      </c>
      <c r="V43" s="1" t="inlineStr">
        <is>
          <t>１・２位</t>
        </is>
      </c>
      <c r="AC43" s="7" t="n"/>
      <c r="AD43" s="47">
        <f>IFERROR(INDEX($U$43:$U$46,MATCH(1,$T$43:$T$46,0)),"")</f>
        <v/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>
        <f>IF(予選順位入力!$B$7="","",予選順位入力!$B$7)</f>
        <v/>
      </c>
      <c r="D44" s="13" t="n"/>
      <c r="E44" s="10" t="n"/>
      <c r="F44" s="10" t="n"/>
      <c r="G44" s="45" t="n"/>
      <c r="H44" s="14" t="n"/>
      <c r="K44" s="7" t="n"/>
      <c r="L44" s="47">
        <f>IFERROR(INDEX($C$37:$C$40,MATCH(3,$B$37:$B$40,0)),"")</f>
        <v/>
      </c>
      <c r="M44" s="34" t="n"/>
      <c r="N44" s="21" t="n"/>
      <c r="O44" s="21" t="n"/>
      <c r="P44" s="23" t="n"/>
      <c r="T44" s="7" t="n"/>
      <c r="U44" s="47">
        <f>IFERROR(INDEX($L$37:$L$40,MATCH(3,$K$37:$K$40,0)),"")</f>
        <v/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>
        <f>IFERROR(INDEX($U$43:$U$46,MATCH(2,$T$43:$T$46,0)),"")</f>
        <v/>
      </c>
      <c r="AW44" s="6" t="n"/>
      <c r="AX44" s="59" t="n"/>
    </row>
    <row r="45" ht="20.25" customHeight="1" s="58" thickBot="1" thickTop="1">
      <c r="A45" s="5" t="n"/>
      <c r="B45" s="7" t="n"/>
      <c r="C45" s="41">
        <f>IF(予選順位入力!$B$11="","",予選順位入力!$B$11)</f>
        <v/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>
        <f>IFERROR(INDEX($C$43:$C$46,MATCH(3,$B$43:$B$46,0)),"")</f>
        <v/>
      </c>
      <c r="M45" s="16" t="n"/>
      <c r="P45" s="25" t="n"/>
      <c r="Q45" s="21" t="n"/>
      <c r="R45" s="21" t="n"/>
      <c r="S45" s="46" t="n"/>
      <c r="T45" s="7" t="n"/>
      <c r="U45" s="47">
        <f>IFERROR(INDEX($L$43:$L$46,MATCH(2,$K$43:$K$46,0)),"")</f>
        <v/>
      </c>
      <c r="Z45" s="12" t="n"/>
      <c r="AA45" s="12" t="n"/>
      <c r="AB45" s="36" t="n"/>
      <c r="AC45" s="7" t="n"/>
      <c r="AD45" s="47">
        <f>IFERROR(INDEX($U$49:$U$52,MATCH(1,$T$49:$T$52,0)),"")</f>
        <v/>
      </c>
      <c r="AW45" s="6" t="n"/>
      <c r="AX45" s="59" t="n"/>
    </row>
    <row r="46" ht="19.5" customHeight="1" s="58" thickTop="1">
      <c r="A46" s="5" t="n"/>
      <c r="B46" s="7" t="n"/>
      <c r="C46" s="41">
        <f>IF(予選順位入力!$B$15="","",予選順位入力!$B$15)</f>
        <v/>
      </c>
      <c r="D46" s="34" t="n"/>
      <c r="G46" s="25" t="n"/>
      <c r="H46" s="20" t="n"/>
      <c r="K46" s="7" t="n"/>
      <c r="L46" s="47">
        <f>IFERROR(INDEX($C$49:$C$52,MATCH(4,$B$49:$B$52,0)),"")</f>
        <v/>
      </c>
      <c r="M46" s="16" t="n"/>
      <c r="P46" s="25" t="n"/>
      <c r="T46" s="7" t="n"/>
      <c r="U46" s="47">
        <f>IFERROR(INDEX($L$49:$L$52,MATCH(1,$K$49:$K$52,0)),"")</f>
        <v/>
      </c>
      <c r="Y46" s="20" t="n"/>
      <c r="AC46" s="7" t="n"/>
      <c r="AD46" s="47">
        <f>IFERROR(INDEX($U$49:$U$52,MATCH(2,$T$49:$T$52,0)),"")</f>
        <v/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Race1-7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>
        <f>IF(予選順位入力!$B$3="","",予選順位入力!$B$3)</f>
        <v/>
      </c>
      <c r="D49" s="1" t="inlineStr">
        <is>
          <t>１・２位</t>
        </is>
      </c>
      <c r="G49" s="25" t="n"/>
      <c r="H49" s="26" t="n"/>
      <c r="K49" s="7" t="n"/>
      <c r="L49" s="47">
        <f>IFERROR(INDEX($C$31:$C$34,MATCH(3,$B$31:$B$34,0)),"")</f>
        <v/>
      </c>
      <c r="M49" s="42" t="inlineStr">
        <is>
          <t>１・２位</t>
        </is>
      </c>
      <c r="O49" s="18" t="n"/>
      <c r="P49" s="25" t="n"/>
      <c r="T49" s="7" t="n"/>
      <c r="U49" s="47">
        <f>IFERROR(INDEX($L$31:$L$34,MATCH(3,$K$31:$K$34,0)),"")</f>
        <v/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>
        <f>IF(予選順位入力!$B$8="","",予選順位入力!$B$8)</f>
        <v/>
      </c>
      <c r="D50" s="13" t="n"/>
      <c r="E50" s="10" t="n"/>
      <c r="F50" s="10" t="n"/>
      <c r="G50" s="45" t="n"/>
      <c r="H50" s="10" t="n"/>
      <c r="K50" s="7" t="n"/>
      <c r="L50" s="47">
        <f>IFERROR(INDEX($C$37:$C$40,MATCH(4,$B$37:$B$40,0)),"")</f>
        <v/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>
        <f>IFERROR(INDEX($L$37:$L$40,MATCH(4,$K$37:$K$40,0)),"")</f>
        <v/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>
        <f>IF(予選順位入力!$B$12="","",予選順位入力!$B$12)</f>
        <v/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>
        <f>IFERROR(INDEX($C$43:$C$46,MATCH(4,$B$43:$B$46,0)),"")</f>
        <v/>
      </c>
      <c r="T51" s="7" t="n"/>
      <c r="U51" s="47">
        <f>IFERROR(INDEX($L$43:$L$46,MATCH(1,$K$43:$K$46,0)),"")</f>
        <v/>
      </c>
      <c r="V51" s="16" t="n"/>
      <c r="AW51" s="6" t="n"/>
      <c r="AX51" s="59" t="n"/>
    </row>
    <row r="52" ht="19.5" customHeight="1" s="58">
      <c r="A52" s="5" t="n"/>
      <c r="B52" s="7" t="n"/>
      <c r="C52" s="41">
        <f>IF(予選順位入力!$B$16="","",予選順位入力!$B$16)</f>
        <v/>
      </c>
      <c r="K52" s="7" t="n"/>
      <c r="L52" s="47">
        <f>IFERROR(INDEX($C$49:$C$52,MATCH(3,$B$49:$B$52,0)),"")</f>
        <v/>
      </c>
      <c r="T52" s="7" t="n"/>
      <c r="U52" s="47">
        <f>IFERROR(INDEX($L$49:$L$52,MATCH(2,$K$49:$K$52,0)),"")</f>
        <v/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dataValidations count="1">
    <dataValidation sqref="B5:B8 B11:B14 B17:B20 B31:B34 B37:B40 B43:B46 B49:B52 K5:K7 K11:K13 K17:K19 K23:K25 K31:K34 K37:K40 K43:K46 K49:K52 T5:T8 T17:T20 T31:T34 T43:T46 T49:T52 AC11:AC14 AC43:AC46 AL5:AL8 AL37:AL40 AU31:AU34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49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tabSelected="1" topLeftCell="A1" workbookViewId="0">
      <selection activeCell="AK42" sqref="AK42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12名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 t="inlineStr">
        <is>
          <t>予選17位</t>
        </is>
      </c>
      <c r="D5" s="1" t="inlineStr">
        <is>
          <t>１・２位</t>
        </is>
      </c>
      <c r="K5" s="7" t="n"/>
      <c r="L5" s="8" t="inlineStr">
        <is>
          <t>R1-1　１位</t>
        </is>
      </c>
      <c r="M5" s="1" t="inlineStr">
        <is>
          <t>１・２位</t>
        </is>
      </c>
      <c r="T5" s="7" t="n"/>
      <c r="U5" s="8" t="inlineStr">
        <is>
          <t>R2-1　１位</t>
        </is>
      </c>
      <c r="V5" s="1" t="inlineStr">
        <is>
          <t>１・２位</t>
        </is>
      </c>
      <c r="AL5" s="7" t="n"/>
      <c r="AM5" s="8" t="inlineStr">
        <is>
          <t>R3-1　１位</t>
        </is>
      </c>
      <c r="AW5" s="6" t="n"/>
      <c r="AX5" s="59" t="n"/>
    </row>
    <row r="6" ht="20.25" customHeight="1" s="58" thickBot="1" thickTop="1">
      <c r="A6" s="5" t="n"/>
      <c r="B6" s="7" t="n"/>
      <c r="C6" s="8" t="inlineStr">
        <is>
          <t>予選22位</t>
        </is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 t="inlineStr">
        <is>
          <t>R1-2　２位</t>
        </is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 t="inlineStr">
        <is>
          <t>R2-1　２位</t>
        </is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 t="inlineStr">
        <is>
          <t>R3-1　２位</t>
        </is>
      </c>
      <c r="AN6" s="16" t="n"/>
      <c r="AW6" s="6" t="n"/>
      <c r="AX6" s="59" t="n"/>
    </row>
    <row r="7" ht="20.25" customHeight="1" s="58" thickBot="1" thickTop="1">
      <c r="A7" s="5" t="n"/>
      <c r="B7" s="7" t="n"/>
      <c r="C7" s="8" t="inlineStr">
        <is>
          <t>予選25位</t>
        </is>
      </c>
      <c r="D7" s="17" t="inlineStr">
        <is>
          <t>３・４位</t>
        </is>
      </c>
      <c r="E7" s="18" t="n"/>
      <c r="F7" s="18" t="n"/>
      <c r="I7" s="19" t="n"/>
      <c r="J7" s="10" t="n"/>
      <c r="K7" s="7" t="n"/>
      <c r="L7" s="8" t="inlineStr">
        <is>
          <t>R1-3　２位</t>
        </is>
      </c>
      <c r="M7" s="17" t="inlineStr">
        <is>
          <t>３位</t>
        </is>
      </c>
      <c r="P7" s="20" t="n"/>
      <c r="T7" s="7" t="n"/>
      <c r="U7" s="8" t="inlineStr">
        <is>
          <t>R2-2　１位</t>
        </is>
      </c>
      <c r="V7" s="17" t="inlineStr">
        <is>
          <t>３・４位</t>
        </is>
      </c>
      <c r="W7" s="18" t="n"/>
      <c r="X7" s="18" t="n"/>
      <c r="Y7" s="18" t="n"/>
      <c r="AL7" s="7" t="n"/>
      <c r="AM7" s="8" t="inlineStr">
        <is>
          <t>R4-1　１位</t>
        </is>
      </c>
      <c r="AW7" s="6" t="n"/>
      <c r="AX7" s="59" t="n"/>
    </row>
    <row r="8" ht="19.5" customHeight="1" s="58" thickTop="1">
      <c r="A8" s="5" t="n"/>
      <c r="B8" s="7" t="n"/>
      <c r="C8" s="8" t="inlineStr">
        <is>
          <t>予選26位</t>
        </is>
      </c>
      <c r="G8" s="23" t="n"/>
      <c r="I8" s="33" t="n"/>
      <c r="J8" s="35" t="n"/>
      <c r="K8" s="7" t="n"/>
      <c r="L8" s="8" t="n"/>
      <c r="M8" s="21" t="n"/>
      <c r="N8" s="21" t="n"/>
      <c r="O8" s="21" t="n"/>
      <c r="P8" s="22" t="n"/>
      <c r="Q8" s="23" t="n"/>
      <c r="T8" s="7" t="n"/>
      <c r="U8" s="8" t="inlineStr">
        <is>
          <t>R2-2　２位</t>
        </is>
      </c>
      <c r="Z8" s="24" t="n"/>
      <c r="AI8" s="20" t="n"/>
      <c r="AJ8" s="19" t="n"/>
      <c r="AK8" s="15" t="n"/>
      <c r="AL8" s="7" t="n"/>
      <c r="AM8" s="8" t="inlineStr">
        <is>
          <t>R4-1　２位</t>
        </is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 t="inlineStr">
        <is>
          <t>予選18位</t>
        </is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 t="inlineStr">
        <is>
          <t>R1-1　２位</t>
        </is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 t="inlineStr">
        <is>
          <t>R3-1　３位</t>
        </is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 t="inlineStr">
        <is>
          <t>予選21位</t>
        </is>
      </c>
      <c r="D12" s="13" t="n"/>
      <c r="E12" s="10" t="n"/>
      <c r="F12" s="10" t="n"/>
      <c r="G12" s="25" t="n"/>
      <c r="I12" s="19" t="n"/>
      <c r="J12" s="10" t="n"/>
      <c r="K12" s="7" t="n"/>
      <c r="L12" s="8" t="inlineStr">
        <is>
          <t>R1-2　１位</t>
        </is>
      </c>
      <c r="M12" s="13" t="n"/>
      <c r="N12" s="10" t="n"/>
      <c r="O12" s="10" t="n"/>
      <c r="P12" s="10" t="n"/>
      <c r="R12" s="24" t="n"/>
      <c r="AC12" s="7" t="n"/>
      <c r="AD12" s="30" t="inlineStr">
        <is>
          <t>R3-1　４位</t>
        </is>
      </c>
      <c r="AW12" s="6" t="n"/>
      <c r="AX12" s="59" t="n"/>
    </row>
    <row r="13" ht="19.5" customHeight="1" s="58" thickBot="1">
      <c r="A13" s="5" t="n"/>
      <c r="B13" s="7" t="n"/>
      <c r="C13" s="8" t="inlineStr">
        <is>
          <t>予選24位</t>
        </is>
      </c>
      <c r="D13" s="17" t="inlineStr">
        <is>
          <t>３・４位</t>
        </is>
      </c>
      <c r="E13" s="18" t="n"/>
      <c r="F13" s="18" t="n"/>
      <c r="G13" s="48" t="n"/>
      <c r="I13" s="33" t="n"/>
      <c r="K13" s="7" t="n"/>
      <c r="L13" s="8" t="inlineStr">
        <is>
          <t>R1-3　１位</t>
        </is>
      </c>
      <c r="M13" s="32" t="inlineStr">
        <is>
          <t>３位</t>
        </is>
      </c>
      <c r="Q13" s="18" t="n"/>
      <c r="R13" s="24" t="n"/>
      <c r="AC13" s="7" t="n"/>
      <c r="AD13" s="30" t="inlineStr">
        <is>
          <t>R3-2　１位</t>
        </is>
      </c>
      <c r="AW13" s="6" t="n"/>
      <c r="AX13" s="59" t="n"/>
    </row>
    <row r="14" ht="19.5" customHeight="1" s="58" thickTop="1">
      <c r="A14" s="5" t="n"/>
      <c r="B14" s="7" t="n"/>
      <c r="C14" s="8" t="inlineStr">
        <is>
          <t>予選27位</t>
        </is>
      </c>
      <c r="G14" s="25" t="n"/>
      <c r="I14" s="33" t="n"/>
      <c r="J14" s="35" t="n"/>
      <c r="K14" s="7" t="n"/>
      <c r="L14" s="8" t="n"/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 t="inlineStr">
        <is>
          <t>R3-2　２位</t>
        </is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 t="inlineStr">
        <is>
          <t>予選19位</t>
        </is>
      </c>
      <c r="D17" s="1" t="inlineStr">
        <is>
          <t>１・２位</t>
        </is>
      </c>
      <c r="G17" s="25" t="n"/>
      <c r="I17" s="33" t="n"/>
      <c r="K17" s="7" t="n"/>
      <c r="L17" s="30" t="inlineStr">
        <is>
          <t>R1-1　３位</t>
        </is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 t="inlineStr">
        <is>
          <t>R2-1　３位</t>
        </is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 t="inlineStr">
        <is>
          <t>予選20位</t>
        </is>
      </c>
      <c r="D18" s="13" t="n"/>
      <c r="E18" s="10" t="n"/>
      <c r="F18" s="10" t="n"/>
      <c r="G18" s="45" t="n"/>
      <c r="H18" s="10" t="n"/>
      <c r="K18" s="7" t="n"/>
      <c r="L18" s="30" t="inlineStr">
        <is>
          <t>R1-2　４位</t>
        </is>
      </c>
      <c r="Q18" s="33" t="n"/>
      <c r="S18" s="35" t="n"/>
      <c r="T18" s="7" t="n"/>
      <c r="U18" s="30" t="inlineStr">
        <is>
          <t>R2-2　３位</t>
        </is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 t="inlineStr">
        <is>
          <t>予選23位</t>
        </is>
      </c>
      <c r="D19" s="17" t="inlineStr">
        <is>
          <t>３・４位</t>
        </is>
      </c>
      <c r="E19" s="18" t="n"/>
      <c r="F19" s="18" t="n"/>
      <c r="G19" s="48" t="n"/>
      <c r="H19" s="18" t="n"/>
      <c r="I19" s="18" t="n"/>
      <c r="J19" s="18" t="n"/>
      <c r="K19" s="7" t="n"/>
      <c r="L19" s="30" t="inlineStr">
        <is>
          <t>R1-3　３位</t>
        </is>
      </c>
      <c r="Q19" s="11" t="n"/>
      <c r="R19" s="12" t="n"/>
      <c r="S19" s="36" t="n"/>
      <c r="T19" s="7" t="n"/>
      <c r="U19" s="30" t="inlineStr">
        <is>
          <t>R2-3　１位</t>
        </is>
      </c>
      <c r="AW19" s="6" t="n"/>
      <c r="AX19" s="59" t="n"/>
    </row>
    <row r="20" ht="19.5" customHeight="1" s="58" thickTop="1">
      <c r="A20" s="5" t="n"/>
      <c r="B20" s="7" t="n"/>
      <c r="C20" s="8" t="inlineStr">
        <is>
          <t>予選28位</t>
        </is>
      </c>
      <c r="G20" s="60" t="n"/>
      <c r="K20" s="7" t="n"/>
      <c r="L20" s="30" t="n"/>
      <c r="Q20" s="61" t="n"/>
      <c r="T20" s="7" t="n"/>
      <c r="U20" s="30" t="inlineStr">
        <is>
          <t>R2-4　１位</t>
        </is>
      </c>
      <c r="AW20" s="6" t="n"/>
      <c r="AX20" s="59" t="n"/>
    </row>
    <row r="21" s="58">
      <c r="A21" s="5" t="n"/>
      <c r="G21" s="60" t="n"/>
      <c r="Q21" s="61" t="n"/>
      <c r="AW21" s="6" t="n"/>
      <c r="AX21" s="59" t="n"/>
    </row>
    <row r="22" s="58">
      <c r="A22" s="5" t="n"/>
      <c r="G22" s="60" t="n"/>
      <c r="K22" s="1" t="n"/>
      <c r="L22" s="1" t="inlineStr">
        <is>
          <t>Race2-4</t>
        </is>
      </c>
      <c r="Q22" s="61" t="n"/>
      <c r="AW22" s="6" t="n"/>
      <c r="AX22" s="59" t="n"/>
    </row>
    <row r="23" ht="19.5" customHeight="1" s="58">
      <c r="A23" s="5" t="n"/>
      <c r="G23" s="60" t="n"/>
      <c r="K23" s="7" t="n"/>
      <c r="L23" s="30" t="inlineStr">
        <is>
          <t>R1-1　４位</t>
        </is>
      </c>
      <c r="M23" s="31" t="inlineStr">
        <is>
          <t>１位</t>
        </is>
      </c>
      <c r="N23" s="12" t="n"/>
      <c r="O23" s="12" t="n"/>
      <c r="P23" s="12" t="n"/>
      <c r="Q23" s="61" t="n"/>
      <c r="AW23" s="6" t="n"/>
      <c r="AX23" s="59" t="n"/>
    </row>
    <row r="24" ht="19.5" customHeight="1" s="58">
      <c r="A24" s="5" t="n"/>
      <c r="G24" s="60" t="n"/>
      <c r="K24" s="7" t="n"/>
      <c r="L24" s="30" t="inlineStr">
        <is>
          <t>R1-2　３位</t>
        </is>
      </c>
      <c r="AW24" s="6" t="n"/>
      <c r="AX24" s="59" t="n"/>
    </row>
    <row r="25" ht="19.5" customHeight="1" s="58" thickBot="1">
      <c r="A25" s="5" t="n"/>
      <c r="G25" s="60" t="n"/>
      <c r="H25" s="62" t="n"/>
      <c r="I25" s="62" t="n"/>
      <c r="J25" s="62" t="n"/>
      <c r="K25" s="7" t="n"/>
      <c r="L25" s="30" t="inlineStr">
        <is>
          <t>R1-3　４位</t>
        </is>
      </c>
      <c r="AW25" s="6" t="n"/>
      <c r="AX25" s="59" t="n"/>
    </row>
    <row r="26" ht="19.5" customHeight="1" s="58" thickBot="1" thickTop="1">
      <c r="A26" s="5" t="n"/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16名</t>
        </is>
      </c>
    </row>
    <row r="30" s="58">
      <c r="A30" s="5" t="n"/>
      <c r="B30" s="1" t="n"/>
      <c r="C30" s="1" t="inlineStr">
        <is>
          <t>Race1-4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 t="inlineStr">
        <is>
          <t>予選1位</t>
        </is>
      </c>
      <c r="D31" s="1" t="inlineStr">
        <is>
          <t>１・２位</t>
        </is>
      </c>
      <c r="K31" s="7" t="n"/>
      <c r="L31" s="41" t="inlineStr">
        <is>
          <t>R1-4　１位</t>
        </is>
      </c>
      <c r="M31" s="1" t="inlineStr">
        <is>
          <t>１・２位</t>
        </is>
      </c>
      <c r="T31" s="7" t="n"/>
      <c r="U31" s="41" t="inlineStr">
        <is>
          <t>R2-5　１位</t>
        </is>
      </c>
      <c r="V31" s="1" t="inlineStr">
        <is>
          <t>１・２位</t>
        </is>
      </c>
      <c r="AU31" s="7" t="n"/>
      <c r="AV31" s="41" t="inlineStr">
        <is>
          <t>R3-3　１位</t>
        </is>
      </c>
      <c r="AW31" s="6" t="n"/>
      <c r="AX31" s="59" t="n"/>
    </row>
    <row r="32" ht="20.25" customHeight="1" s="58" thickBot="1" thickTop="1">
      <c r="A32" s="5" t="n"/>
      <c r="B32" s="7" t="n"/>
      <c r="C32" s="41" t="inlineStr">
        <is>
          <t>予選8位</t>
        </is>
      </c>
      <c r="D32" s="9" t="n"/>
      <c r="E32" s="10" t="n"/>
      <c r="F32" s="10" t="n"/>
      <c r="G32" s="10" t="n"/>
      <c r="H32" s="14" t="n"/>
      <c r="J32" s="35" t="n"/>
      <c r="K32" s="7" t="n"/>
      <c r="L32" s="41" t="inlineStr">
        <is>
          <t>R1-4　２位</t>
        </is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 t="inlineStr">
        <is>
          <t>R2-5　２位</t>
        </is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 t="inlineStr">
        <is>
          <t>R3-3　２位</t>
        </is>
      </c>
      <c r="AW32" s="6" t="n"/>
      <c r="AX32" s="59" t="n"/>
    </row>
    <row r="33" ht="20.25" customHeight="1" s="58" thickBot="1" thickTop="1">
      <c r="A33" s="5" t="n"/>
      <c r="B33" s="7" t="n"/>
      <c r="C33" s="41" t="inlineStr">
        <is>
          <t>予選9位</t>
        </is>
      </c>
      <c r="D33" s="42" t="inlineStr">
        <is>
          <t>３・４位</t>
        </is>
      </c>
      <c r="E33" s="18" t="n"/>
      <c r="F33" s="18" t="n"/>
      <c r="G33" s="18" t="n"/>
      <c r="H33" s="20" t="n"/>
      <c r="I33" s="10" t="n"/>
      <c r="J33" s="15" t="n"/>
      <c r="K33" s="7" t="n"/>
      <c r="L33" s="41" t="inlineStr">
        <is>
          <t>R1-5　１位</t>
        </is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 t="inlineStr">
        <is>
          <t>R2-6　１位</t>
        </is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 t="inlineStr">
        <is>
          <t>R5-2　１位</t>
        </is>
      </c>
      <c r="AW33" s="6" t="n"/>
      <c r="AX33" s="59" t="n"/>
    </row>
    <row r="34" ht="19.5" customHeight="1" s="58" thickTop="1">
      <c r="A34" s="5" t="n"/>
      <c r="B34" s="7" t="n"/>
      <c r="C34" s="41" t="inlineStr">
        <is>
          <t>予選16位</t>
        </is>
      </c>
      <c r="D34" s="34" t="n"/>
      <c r="G34" s="25" t="n"/>
      <c r="H34" s="20" t="n"/>
      <c r="K34" s="7" t="n"/>
      <c r="L34" s="41" t="inlineStr">
        <is>
          <t>R1-5　２位</t>
        </is>
      </c>
      <c r="O34" s="21" t="n"/>
      <c r="P34" s="23" t="n"/>
      <c r="Q34" s="20" t="n"/>
      <c r="T34" s="7" t="n"/>
      <c r="U34" s="41" t="inlineStr">
        <is>
          <t>R2-6　２位</t>
        </is>
      </c>
      <c r="AG34" s="21" t="n"/>
      <c r="AH34" s="23" t="n"/>
      <c r="AR34" s="19" t="n"/>
      <c r="AS34" s="10" t="n"/>
      <c r="AT34" s="10" t="n"/>
      <c r="AU34" s="7" t="n"/>
      <c r="AV34" s="41" t="inlineStr">
        <is>
          <t>R5-2　２位</t>
        </is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Race1-5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 t="inlineStr">
        <is>
          <t>予選4位</t>
        </is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 t="inlineStr">
        <is>
          <t>R1-6　１位</t>
        </is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 t="inlineStr">
        <is>
          <t>R3-3　３位</t>
        </is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 t="inlineStr">
        <is>
          <t>予選5位</t>
        </is>
      </c>
      <c r="D38" s="13" t="n"/>
      <c r="E38" s="10" t="n"/>
      <c r="G38" s="25" t="n"/>
      <c r="K38" s="7" t="n"/>
      <c r="L38" s="41" t="inlineStr">
        <is>
          <t>R1-6　２位</t>
        </is>
      </c>
      <c r="M38" s="13" t="n"/>
      <c r="N38" s="10" t="n"/>
      <c r="P38" s="45" t="n"/>
      <c r="AI38" s="21" t="n"/>
      <c r="AJ38" s="21" t="n"/>
      <c r="AK38" s="46" t="n"/>
      <c r="AL38" s="7" t="n"/>
      <c r="AM38" s="44" t="inlineStr">
        <is>
          <t>R3-3　４位</t>
        </is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 t="inlineStr">
        <is>
          <t>予選12位</t>
        </is>
      </c>
      <c r="D39" s="42" t="inlineStr">
        <is>
          <t>３・４位</t>
        </is>
      </c>
      <c r="G39" s="25" t="n"/>
      <c r="I39" s="19" t="n"/>
      <c r="J39" s="10" t="n"/>
      <c r="K39" s="7" t="n"/>
      <c r="L39" s="41" t="inlineStr">
        <is>
          <t>R1-7　１位</t>
        </is>
      </c>
      <c r="M39" s="42" t="inlineStr">
        <is>
          <t>３・４位</t>
        </is>
      </c>
      <c r="P39" s="25" t="n"/>
      <c r="AK39" s="35" t="n"/>
      <c r="AL39" s="7" t="n"/>
      <c r="AM39" s="44" t="inlineStr">
        <is>
          <t>R4-2　１位</t>
        </is>
      </c>
      <c r="AW39" s="6" t="n"/>
      <c r="AX39" s="59" t="n"/>
    </row>
    <row r="40" ht="19.5" customHeight="1" s="58" thickTop="1">
      <c r="A40" s="5" t="n"/>
      <c r="B40" s="7" t="n"/>
      <c r="C40" s="41" t="inlineStr">
        <is>
          <t>予選13位</t>
        </is>
      </c>
      <c r="D40" s="34" t="n"/>
      <c r="E40" s="21" t="n"/>
      <c r="F40" s="21" t="n"/>
      <c r="G40" s="23" t="n"/>
      <c r="I40" s="33" t="n"/>
      <c r="K40" s="7" t="n"/>
      <c r="L40" s="41" t="inlineStr">
        <is>
          <t>R1-7　２位</t>
        </is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 t="inlineStr">
        <is>
          <t>R4-2　２位</t>
        </is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Race1-6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 t="inlineStr">
        <is>
          <t>予選3位</t>
        </is>
      </c>
      <c r="D43" s="1" t="inlineStr">
        <is>
          <t>１・２位</t>
        </is>
      </c>
      <c r="E43" s="12" t="n"/>
      <c r="G43" s="25" t="n"/>
      <c r="I43" s="33" t="n"/>
      <c r="K43" s="7" t="n"/>
      <c r="L43" s="47" t="inlineStr">
        <is>
          <t>R1-4　４位</t>
        </is>
      </c>
      <c r="M43" s="42" t="inlineStr">
        <is>
          <t>１・２位</t>
        </is>
      </c>
      <c r="P43" s="25" t="n"/>
      <c r="T43" s="7" t="n"/>
      <c r="U43" s="47" t="inlineStr">
        <is>
          <t>R2-5　４位</t>
        </is>
      </c>
      <c r="V43" s="1" t="inlineStr">
        <is>
          <t>１・２位</t>
        </is>
      </c>
      <c r="AC43" s="7" t="n"/>
      <c r="AD43" s="47" t="inlineStr">
        <is>
          <t>R3-4　１位</t>
        </is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 t="inlineStr">
        <is>
          <t>予選6位</t>
        </is>
      </c>
      <c r="D44" s="13" t="n"/>
      <c r="E44" s="10" t="n"/>
      <c r="F44" s="10" t="n"/>
      <c r="G44" s="45" t="n"/>
      <c r="H44" s="14" t="n"/>
      <c r="K44" s="7" t="n"/>
      <c r="L44" s="47" t="inlineStr">
        <is>
          <t>R1-5　３位</t>
        </is>
      </c>
      <c r="M44" s="34" t="n"/>
      <c r="N44" s="21" t="n"/>
      <c r="O44" s="21" t="n"/>
      <c r="P44" s="23" t="n"/>
      <c r="T44" s="7" t="n"/>
      <c r="U44" s="47" t="inlineStr">
        <is>
          <t>R2-6　３位</t>
        </is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 t="inlineStr">
        <is>
          <t>R3-4　２位</t>
        </is>
      </c>
      <c r="AW44" s="6" t="n"/>
      <c r="AX44" s="59" t="n"/>
    </row>
    <row r="45" ht="20.25" customHeight="1" s="58" thickBot="1" thickTop="1">
      <c r="A45" s="5" t="n"/>
      <c r="B45" s="7" t="n"/>
      <c r="C45" s="41" t="inlineStr">
        <is>
          <t>予選10位</t>
        </is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 t="inlineStr">
        <is>
          <t>R1-6　３位</t>
        </is>
      </c>
      <c r="M45" s="16" t="n"/>
      <c r="P45" s="25" t="n"/>
      <c r="Q45" s="21" t="n"/>
      <c r="R45" s="21" t="n"/>
      <c r="S45" s="46" t="n"/>
      <c r="T45" s="7" t="n"/>
      <c r="U45" s="47" t="inlineStr">
        <is>
          <t>R2-7　２位</t>
        </is>
      </c>
      <c r="Z45" s="12" t="n"/>
      <c r="AA45" s="12" t="n"/>
      <c r="AB45" s="36" t="n"/>
      <c r="AC45" s="7" t="n"/>
      <c r="AD45" s="47" t="inlineStr">
        <is>
          <t>R3-5　１位</t>
        </is>
      </c>
      <c r="AW45" s="6" t="n"/>
      <c r="AX45" s="59" t="n"/>
    </row>
    <row r="46" ht="19.5" customHeight="1" s="58" thickTop="1">
      <c r="A46" s="5" t="n"/>
      <c r="B46" s="7" t="n"/>
      <c r="C46" s="41" t="inlineStr">
        <is>
          <t>予選14位</t>
        </is>
      </c>
      <c r="D46" s="34" t="n"/>
      <c r="G46" s="25" t="n"/>
      <c r="H46" s="20" t="n"/>
      <c r="K46" s="7" t="n"/>
      <c r="L46" s="47" t="inlineStr">
        <is>
          <t>R1-7　４位</t>
        </is>
      </c>
      <c r="M46" s="16" t="n"/>
      <c r="P46" s="25" t="n"/>
      <c r="T46" s="7" t="n"/>
      <c r="U46" s="47" t="inlineStr">
        <is>
          <t>R2-8　１位</t>
        </is>
      </c>
      <c r="Y46" s="20" t="n"/>
      <c r="AC46" s="7" t="n"/>
      <c r="AD46" s="47" t="inlineStr">
        <is>
          <t>R3-5　２位</t>
        </is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Race1-7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 t="inlineStr">
        <is>
          <t>予選2位</t>
        </is>
      </c>
      <c r="D49" s="1" t="inlineStr">
        <is>
          <t>１・２位</t>
        </is>
      </c>
      <c r="G49" s="25" t="n"/>
      <c r="H49" s="26" t="n"/>
      <c r="K49" s="7" t="n"/>
      <c r="L49" s="47" t="inlineStr">
        <is>
          <t>R1-4　３位</t>
        </is>
      </c>
      <c r="M49" s="42" t="inlineStr">
        <is>
          <t>１・２位</t>
        </is>
      </c>
      <c r="O49" s="18" t="n"/>
      <c r="P49" s="25" t="n"/>
      <c r="T49" s="7" t="n"/>
      <c r="U49" s="47" t="inlineStr">
        <is>
          <t>R2-5　３位</t>
        </is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 t="inlineStr">
        <is>
          <t>予選7位</t>
        </is>
      </c>
      <c r="D50" s="13" t="n"/>
      <c r="E50" s="10" t="n"/>
      <c r="F50" s="10" t="n"/>
      <c r="G50" s="45" t="n"/>
      <c r="H50" s="10" t="n"/>
      <c r="K50" s="7" t="n"/>
      <c r="L50" s="47" t="inlineStr">
        <is>
          <t>R1-5　４位</t>
        </is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 t="inlineStr">
        <is>
          <t>R2-6　４位</t>
        </is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 t="inlineStr">
        <is>
          <t>予選11位</t>
        </is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 t="inlineStr">
        <is>
          <t>R1-6　４位</t>
        </is>
      </c>
      <c r="T51" s="7" t="n"/>
      <c r="U51" s="47" t="inlineStr">
        <is>
          <t>R2-7　１位</t>
        </is>
      </c>
      <c r="V51" s="16" t="n"/>
      <c r="AW51" s="6" t="n"/>
      <c r="AX51" s="59" t="n"/>
    </row>
    <row r="52" ht="19.5" customHeight="1" s="58">
      <c r="A52" s="5" t="n"/>
      <c r="B52" s="7" t="n"/>
      <c r="C52" s="41" t="inlineStr">
        <is>
          <t>予選15位</t>
        </is>
      </c>
      <c r="K52" s="7" t="n"/>
      <c r="L52" s="47" t="inlineStr">
        <is>
          <t>R1-7　３位</t>
        </is>
      </c>
      <c r="T52" s="7" t="n"/>
      <c r="U52" s="47" t="inlineStr">
        <is>
          <t>R2-8　２位</t>
        </is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pageMargins left="0.7086614173228347" right="0.7086614173228347" top="0.7480314960629921" bottom="0.7480314960629921" header="0.3149606299212598" footer="0.3149606299212598"/>
  <pageSetup orientation="landscape" paperSize="9" scale="49" fitToWidth="0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2026-08-15T10:39:46Z</dcterms:modified>
  <cp:lastModifiedBy>zubon2003</cp:lastModifiedBy>
</cp:coreProperties>
</file>